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3rd Semester\Principles of Finance (ALD 2102)\Termpaper\"/>
    </mc:Choice>
  </mc:AlternateContent>
  <xr:revisionPtr revIDLastSave="0" documentId="13_ncr:1_{04CBFC07-41DC-4755-B71A-C4AD04A448FD}" xr6:coauthVersionLast="47" xr6:coauthVersionMax="47" xr10:uidLastSave="{00000000-0000-0000-0000-000000000000}"/>
  <bookViews>
    <workbookView xWindow="-108" yWindow="-108" windowWidth="23256" windowHeight="12456" firstSheet="3" activeTab="6" xr2:uid="{7781AAA5-B469-44DC-A01A-20272DFB9CEF}"/>
  </bookViews>
  <sheets>
    <sheet name="BS of DBP" sheetId="1" r:id="rId1"/>
    <sheet name="Vertical Analysis(BS) of DBP" sheetId="3" r:id="rId2"/>
    <sheet name="Horizontal Analysis(BS) of DBP" sheetId="5" r:id="rId3"/>
    <sheet name="IS of DBP" sheetId="2" r:id="rId4"/>
    <sheet name="Vertical Analysis(IS) of DBP" sheetId="6" r:id="rId5"/>
    <sheet name="Horizontal Analysis(IS) of DBP" sheetId="7" r:id="rId6"/>
    <sheet name="Ratio Analysis" sheetId="4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6" i="6" l="1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5" i="6"/>
  <c r="I21" i="4"/>
  <c r="J21" i="4"/>
  <c r="K21" i="4"/>
  <c r="L21" i="4"/>
  <c r="M21" i="4"/>
  <c r="J13" i="4"/>
  <c r="K13" i="4"/>
  <c r="J12" i="4"/>
  <c r="K12" i="4"/>
  <c r="L12" i="4"/>
  <c r="L13" i="4" s="1"/>
  <c r="M12" i="4"/>
  <c r="M13" i="4" s="1"/>
  <c r="I12" i="4"/>
  <c r="I13" i="4" s="1"/>
  <c r="J9" i="4"/>
  <c r="K9" i="4"/>
  <c r="L9" i="4"/>
  <c r="M9" i="4"/>
  <c r="I9" i="4"/>
  <c r="I6" i="7"/>
  <c r="I7" i="7"/>
  <c r="I8" i="7"/>
  <c r="I9" i="7"/>
  <c r="I10" i="7"/>
  <c r="I11" i="7"/>
  <c r="I12" i="7"/>
  <c r="I13" i="7"/>
  <c r="I14" i="7"/>
  <c r="I15" i="7"/>
  <c r="I16" i="7"/>
  <c r="I17" i="7"/>
  <c r="I19" i="7"/>
  <c r="I20" i="7"/>
  <c r="I21" i="7"/>
  <c r="I5" i="7"/>
  <c r="G6" i="7"/>
  <c r="G7" i="7"/>
  <c r="G8" i="7"/>
  <c r="G9" i="7"/>
  <c r="G10" i="7"/>
  <c r="G11" i="7"/>
  <c r="G12" i="7"/>
  <c r="G13" i="7"/>
  <c r="G14" i="7"/>
  <c r="G15" i="7"/>
  <c r="G16" i="7"/>
  <c r="G17" i="7"/>
  <c r="G19" i="7"/>
  <c r="G20" i="7"/>
  <c r="G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5" i="7"/>
  <c r="I5" i="5"/>
  <c r="I7" i="5"/>
  <c r="I8" i="5"/>
  <c r="I9" i="5"/>
  <c r="I10" i="5"/>
  <c r="I11" i="5"/>
  <c r="I12" i="5"/>
  <c r="I13" i="5"/>
  <c r="I14" i="5"/>
  <c r="I15" i="5"/>
  <c r="I16" i="5"/>
  <c r="I17" i="5"/>
  <c r="I19" i="5"/>
  <c r="I20" i="5"/>
  <c r="I21" i="5"/>
  <c r="I23" i="5"/>
  <c r="I24" i="5"/>
  <c r="I25" i="5"/>
  <c r="I26" i="5"/>
  <c r="I27" i="5"/>
  <c r="I28" i="5"/>
  <c r="I29" i="5"/>
  <c r="I30" i="5"/>
  <c r="I31" i="5"/>
  <c r="I33" i="5"/>
  <c r="I34" i="5"/>
  <c r="I4" i="5"/>
  <c r="G5" i="5"/>
  <c r="G7" i="5"/>
  <c r="G8" i="5"/>
  <c r="G9" i="5"/>
  <c r="G10" i="5"/>
  <c r="G11" i="5"/>
  <c r="G12" i="5"/>
  <c r="G13" i="5"/>
  <c r="G14" i="5"/>
  <c r="G15" i="5"/>
  <c r="G16" i="5"/>
  <c r="G17" i="5"/>
  <c r="G19" i="5"/>
  <c r="G20" i="5"/>
  <c r="G21" i="5"/>
  <c r="G23" i="5"/>
  <c r="G24" i="5"/>
  <c r="G25" i="5"/>
  <c r="G26" i="5"/>
  <c r="G27" i="5"/>
  <c r="G28" i="5"/>
  <c r="G29" i="5"/>
  <c r="G30" i="5"/>
  <c r="G31" i="5"/>
  <c r="G33" i="5"/>
  <c r="G34" i="5"/>
  <c r="G4" i="5"/>
  <c r="E5" i="5"/>
  <c r="E7" i="5"/>
  <c r="E8" i="5"/>
  <c r="E9" i="5"/>
  <c r="E10" i="5"/>
  <c r="E11" i="5"/>
  <c r="E12" i="5"/>
  <c r="E13" i="5"/>
  <c r="E14" i="5"/>
  <c r="E15" i="5"/>
  <c r="E16" i="5"/>
  <c r="E17" i="5"/>
  <c r="E19" i="5"/>
  <c r="E20" i="5"/>
  <c r="E21" i="5"/>
  <c r="E23" i="5"/>
  <c r="E24" i="5"/>
  <c r="E25" i="5"/>
  <c r="E26" i="5"/>
  <c r="E27" i="5"/>
  <c r="E28" i="5"/>
  <c r="E29" i="5"/>
  <c r="E30" i="5"/>
  <c r="E33" i="5"/>
  <c r="E34" i="5"/>
  <c r="E4" i="5"/>
  <c r="C5" i="5"/>
  <c r="C7" i="5"/>
  <c r="C8" i="5"/>
  <c r="C9" i="5"/>
  <c r="C10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3" i="5"/>
  <c r="C34" i="5"/>
  <c r="C4" i="5"/>
  <c r="I6" i="6"/>
  <c r="I7" i="6"/>
  <c r="I8" i="6"/>
  <c r="I9" i="6"/>
  <c r="I10" i="6"/>
  <c r="I11" i="6"/>
  <c r="I12" i="6"/>
  <c r="I13" i="6"/>
  <c r="I14" i="6"/>
  <c r="I15" i="6"/>
  <c r="I16" i="6"/>
  <c r="I17" i="6"/>
  <c r="I19" i="6"/>
  <c r="I20" i="6"/>
  <c r="I21" i="6"/>
  <c r="I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5" i="6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9" i="3"/>
  <c r="K20" i="3"/>
  <c r="K21" i="3"/>
  <c r="K23" i="3"/>
  <c r="K24" i="3"/>
  <c r="K25" i="3"/>
  <c r="K26" i="3"/>
  <c r="K27" i="3"/>
  <c r="K28" i="3"/>
  <c r="K29" i="3"/>
  <c r="K30" i="3"/>
  <c r="K31" i="3"/>
  <c r="K33" i="3"/>
  <c r="K34" i="3"/>
  <c r="K4" i="3"/>
  <c r="I5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3" i="3"/>
  <c r="I24" i="3"/>
  <c r="I25" i="3"/>
  <c r="I26" i="3"/>
  <c r="I27" i="3"/>
  <c r="I28" i="3"/>
  <c r="I29" i="3"/>
  <c r="I30" i="3"/>
  <c r="I31" i="3"/>
  <c r="I33" i="3"/>
  <c r="I34" i="3"/>
  <c r="G5" i="3"/>
  <c r="G7" i="3"/>
  <c r="G8" i="3"/>
  <c r="G9" i="3"/>
  <c r="G10" i="3"/>
  <c r="G11" i="3"/>
  <c r="G12" i="3"/>
  <c r="G13" i="3"/>
  <c r="G14" i="3"/>
  <c r="G15" i="3"/>
  <c r="G16" i="3"/>
  <c r="G17" i="3"/>
  <c r="G19" i="3"/>
  <c r="G20" i="3"/>
  <c r="G21" i="3"/>
  <c r="G23" i="3"/>
  <c r="G24" i="3"/>
  <c r="G25" i="3"/>
  <c r="G26" i="3"/>
  <c r="G27" i="3"/>
  <c r="G28" i="3"/>
  <c r="G29" i="3"/>
  <c r="G30" i="3"/>
  <c r="G31" i="3"/>
  <c r="G33" i="3"/>
  <c r="G34" i="3"/>
  <c r="I4" i="3"/>
  <c r="G4" i="3"/>
  <c r="E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3" i="3"/>
  <c r="E34" i="3"/>
  <c r="E4" i="3"/>
  <c r="C5" i="3"/>
  <c r="C7" i="3"/>
  <c r="C8" i="3"/>
  <c r="C9" i="3"/>
  <c r="C10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2" i="3"/>
  <c r="C33" i="3"/>
  <c r="C34" i="3"/>
  <c r="C4" i="3"/>
  <c r="J25" i="4"/>
  <c r="K25" i="4"/>
  <c r="L25" i="4"/>
  <c r="M25" i="4"/>
  <c r="I25" i="4"/>
  <c r="J20" i="4"/>
  <c r="K20" i="4"/>
  <c r="L20" i="4"/>
  <c r="M20" i="4"/>
  <c r="I20" i="4"/>
  <c r="J18" i="4"/>
  <c r="K18" i="4"/>
  <c r="L18" i="4"/>
  <c r="M18" i="4"/>
  <c r="I18" i="4"/>
  <c r="J17" i="4"/>
  <c r="K17" i="4"/>
  <c r="L17" i="4"/>
  <c r="M17" i="4"/>
  <c r="I17" i="4"/>
  <c r="J10" i="4"/>
  <c r="J11" i="4" s="1"/>
  <c r="K10" i="4"/>
  <c r="K11" i="4" s="1"/>
  <c r="L10" i="4"/>
  <c r="L11" i="4" s="1"/>
  <c r="M10" i="4"/>
  <c r="M11" i="4" s="1"/>
  <c r="I10" i="4"/>
  <c r="I11" i="4" s="1"/>
  <c r="J8" i="4"/>
  <c r="K8" i="4"/>
  <c r="L8" i="4"/>
  <c r="M8" i="4"/>
  <c r="I8" i="4"/>
</calcChain>
</file>

<file path=xl/sharedStrings.xml><?xml version="1.0" encoding="utf-8"?>
<sst xmlns="http://schemas.openxmlformats.org/spreadsheetml/2006/main" count="284" uniqueCount="77">
  <si>
    <t>Income Statements of Deshbandhu Polymer Limited</t>
  </si>
  <si>
    <t>Particulars</t>
  </si>
  <si>
    <t>Turnover</t>
  </si>
  <si>
    <t>Cost of sales</t>
  </si>
  <si>
    <t>Gross profit</t>
  </si>
  <si>
    <t>Operating expenses</t>
  </si>
  <si>
    <t>Selling &amp; Distribution expenses</t>
  </si>
  <si>
    <t>Administrative expenses</t>
  </si>
  <si>
    <t>Operating profit</t>
  </si>
  <si>
    <t>Finance income</t>
  </si>
  <si>
    <t>Finance costs</t>
  </si>
  <si>
    <t>Profit before contribution to workers' profit participation fund</t>
  </si>
  <si>
    <t>Contribution to workers' profit participation fund</t>
  </si>
  <si>
    <t>Profit before taxatior</t>
  </si>
  <si>
    <t>Income tax expense</t>
  </si>
  <si>
    <t>Current Tax</t>
  </si>
  <si>
    <t>(8,145, 127.00)</t>
  </si>
  <si>
    <t>Deferred Tax</t>
  </si>
  <si>
    <t>Profit after tax</t>
  </si>
  <si>
    <t>Earnings Per Share (EPS)</t>
  </si>
  <si>
    <t>Balance Sheet of Deshbandhu Polymer Limited</t>
  </si>
  <si>
    <t>Property, plant and equipment</t>
  </si>
  <si>
    <t>Investments</t>
  </si>
  <si>
    <t>Accumulated Depreciation</t>
  </si>
  <si>
    <t>-</t>
  </si>
  <si>
    <t>Total Non-current assets</t>
  </si>
  <si>
    <t>Inventories</t>
  </si>
  <si>
    <t>AccOUnt Receivables</t>
  </si>
  <si>
    <t>Inventories in transit</t>
  </si>
  <si>
    <t>Inter comnany receivable</t>
  </si>
  <si>
    <t>Advances, deposits and prepayments</t>
  </si>
  <si>
    <t>Advance Income tax</t>
  </si>
  <si>
    <t>Cash and cash equivalents</t>
  </si>
  <si>
    <t>Total Currant assets</t>
  </si>
  <si>
    <t>Total assets</t>
  </si>
  <si>
    <t>Stated canital</t>
  </si>
  <si>
    <t>Revaluation Reserve</t>
  </si>
  <si>
    <t>Retained Earnings</t>
  </si>
  <si>
    <t>Equity attributable to owners or the company</t>
  </si>
  <si>
    <t>Total equity</t>
  </si>
  <si>
    <t>Long Term Borrowings/Loan</t>
  </si>
  <si>
    <t>Defferred Tax Liabilities</t>
  </si>
  <si>
    <t>Total Non-current liabilities</t>
  </si>
  <si>
    <t>Short-term borrowings - secured</t>
  </si>
  <si>
    <t>Other Pavable</t>
  </si>
  <si>
    <t>Bank overdraft</t>
  </si>
  <si>
    <t>Workers' Profit Participation Fund</t>
  </si>
  <si>
    <t>Accounts and other payable</t>
  </si>
  <si>
    <t>share money refundable</t>
  </si>
  <si>
    <t>Provision for Tax I abilities/ Current Tax I ability</t>
  </si>
  <si>
    <t>Unclaimed Dividend</t>
  </si>
  <si>
    <t>Total Current liabilities</t>
  </si>
  <si>
    <t>Total equity and liabilities</t>
  </si>
  <si>
    <t>Ratio Name</t>
  </si>
  <si>
    <t>Liquidity Ratio:</t>
  </si>
  <si>
    <t>Current Ratio</t>
  </si>
  <si>
    <t>Quick Ratio</t>
  </si>
  <si>
    <t>Account Receivable Turnover</t>
  </si>
  <si>
    <t>Average Collection Period</t>
  </si>
  <si>
    <t>Inventory Turnover</t>
  </si>
  <si>
    <t>Days in Inventory</t>
  </si>
  <si>
    <t>Profitability Ratio:</t>
  </si>
  <si>
    <t>Profit margin</t>
  </si>
  <si>
    <t>Asset Turnover</t>
  </si>
  <si>
    <t>Earning Per Share(EPS)</t>
  </si>
  <si>
    <t>Price Earning Ratio</t>
  </si>
  <si>
    <t>Solvency Ratio:</t>
  </si>
  <si>
    <t>Debt to Asset Ratio</t>
  </si>
  <si>
    <t>Retrun on Asset</t>
  </si>
  <si>
    <t>Balance Sheet of Deshbandhu Polymer Limited (Vertical Analysis)</t>
  </si>
  <si>
    <t>Balance Sheet of Deshbandhu Polymer Limited Horizontal Analysis</t>
  </si>
  <si>
    <t>Income Statements of Deshbandhu Polymer Limited (Vertical Analysis)</t>
  </si>
  <si>
    <t>Income Statements of Deshbandhu Polymer Limited (Horizontal Analysis)</t>
  </si>
  <si>
    <t>Market Price</t>
  </si>
  <si>
    <t>Vertical Analysis</t>
  </si>
  <si>
    <t>Horizontal Analysis</t>
  </si>
  <si>
    <t>Ratio Analysis of Deshbandhu Polymer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</si>
</sst>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" fontId="1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0" xfId="0" applyFont="1" applyAlignment="1">
      <alignment horizontal="right"/>
    </xf>
    <xf numFmtId="4" fontId="1" fillId="0" borderId="0" xfId="0" applyNumberFormat="1" applyFont="1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  <xf numFmtId="9" fontId="0" fillId="0" borderId="0" xfId="1" applyFont="1"/>
    <xf numFmtId="9" fontId="1" fillId="0" borderId="0" xfId="1" applyFont="1"/>
    <xf numFmtId="9" fontId="1" fillId="0" borderId="0" xfId="1" applyFont="1" applyAlignment="1">
      <alignment horizontal="center"/>
    </xf>
    <xf numFmtId="9" fontId="4" fillId="0" borderId="0" xfId="1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0" xfId="0" applyFont="1" applyFill="1"/>
    <xf numFmtId="0" fontId="5" fillId="3" borderId="0" xfId="0" applyFont="1" applyFill="1"/>
    <xf numFmtId="0" fontId="9" fillId="3" borderId="0" xfId="0" applyFont="1" applyFill="1"/>
    <xf numFmtId="0" fontId="10" fillId="4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14FEA-EB15-4D6F-81AD-B2710F625089}">
  <dimension ref="A1:H35"/>
  <sheetViews>
    <sheetView topLeftCell="A4" zoomScale="99" zoomScaleNormal="99" workbookViewId="0">
      <selection activeCell="A2" sqref="A2"/>
    </sheetView>
  </sheetViews>
  <sheetFormatPr defaultColWidth="12.44140625" defaultRowHeight="14.4" x14ac:dyDescent="0.3"/>
  <cols>
    <col min="1" max="1" width="47.77734375" customWidth="1"/>
    <col min="3" max="3" width="26" customWidth="1"/>
    <col min="4" max="4" width="29.21875" customWidth="1"/>
    <col min="5" max="5" width="34.109375" customWidth="1"/>
    <col min="6" max="6" width="25" customWidth="1"/>
    <col min="7" max="7" width="23.5546875" customWidth="1"/>
    <col min="8" max="8" width="24.44140625" customWidth="1"/>
  </cols>
  <sheetData>
    <row r="1" spans="1:8" ht="21" x14ac:dyDescent="0.4">
      <c r="A1" s="20" t="s">
        <v>20</v>
      </c>
      <c r="B1" s="21"/>
      <c r="C1" s="21"/>
      <c r="D1" s="21"/>
      <c r="E1" s="21"/>
      <c r="F1" s="21"/>
      <c r="G1" s="21"/>
      <c r="H1" s="21"/>
    </row>
    <row r="3" spans="1:8" ht="15.6" x14ac:dyDescent="0.3">
      <c r="A3" s="7" t="s">
        <v>1</v>
      </c>
      <c r="B3" s="7"/>
      <c r="C3" s="1">
        <v>2022</v>
      </c>
      <c r="D3" s="1">
        <v>2021</v>
      </c>
      <c r="E3" s="1">
        <v>2020</v>
      </c>
      <c r="F3" s="1">
        <v>2019</v>
      </c>
      <c r="G3" s="1">
        <v>2018</v>
      </c>
      <c r="H3" s="1"/>
    </row>
    <row r="4" spans="1:8" x14ac:dyDescent="0.3">
      <c r="A4" t="s">
        <v>21</v>
      </c>
      <c r="C4" s="4">
        <v>1015509672</v>
      </c>
      <c r="D4" s="4">
        <v>1031206714</v>
      </c>
      <c r="E4" s="4">
        <v>459619411</v>
      </c>
      <c r="F4" s="4">
        <v>441596074</v>
      </c>
      <c r="G4" s="4">
        <v>514937045</v>
      </c>
      <c r="H4" s="4"/>
    </row>
    <row r="5" spans="1:8" s="8" customFormat="1" x14ac:dyDescent="0.3">
      <c r="A5" s="13" t="s">
        <v>22</v>
      </c>
      <c r="C5" s="8">
        <v>824901</v>
      </c>
      <c r="D5" s="8">
        <v>877876</v>
      </c>
      <c r="E5" s="9">
        <v>716928</v>
      </c>
      <c r="F5" s="9">
        <v>716928</v>
      </c>
      <c r="G5" s="9">
        <v>716928</v>
      </c>
    </row>
    <row r="6" spans="1:8" ht="15.6" x14ac:dyDescent="0.3">
      <c r="A6" t="s">
        <v>23</v>
      </c>
      <c r="C6" s="18" t="s">
        <v>24</v>
      </c>
      <c r="D6" s="18" t="s">
        <v>24</v>
      </c>
      <c r="E6" s="18" t="s">
        <v>24</v>
      </c>
      <c r="F6" s="18" t="s">
        <v>24</v>
      </c>
      <c r="G6" s="5">
        <v>-160511475</v>
      </c>
      <c r="H6" s="5"/>
    </row>
    <row r="7" spans="1:8" s="8" customFormat="1" ht="15.6" x14ac:dyDescent="0.3">
      <c r="A7" s="7" t="s">
        <v>25</v>
      </c>
      <c r="B7" s="10"/>
      <c r="C7" s="11">
        <v>1016334574</v>
      </c>
      <c r="D7" s="11">
        <v>1032084591</v>
      </c>
      <c r="E7" s="11">
        <v>460336339</v>
      </c>
      <c r="F7" s="11">
        <v>442313002</v>
      </c>
      <c r="G7" s="11">
        <v>355142498</v>
      </c>
      <c r="H7" s="11"/>
    </row>
    <row r="8" spans="1:8" x14ac:dyDescent="0.3">
      <c r="A8" t="s">
        <v>26</v>
      </c>
      <c r="C8" s="4">
        <v>401412927</v>
      </c>
      <c r="D8" s="4">
        <v>284952963</v>
      </c>
      <c r="E8" s="4">
        <v>282126699</v>
      </c>
      <c r="F8" s="4">
        <v>220491223</v>
      </c>
      <c r="G8" s="4">
        <v>143522703</v>
      </c>
      <c r="H8" s="4"/>
    </row>
    <row r="9" spans="1:8" x14ac:dyDescent="0.3">
      <c r="A9" t="s">
        <v>27</v>
      </c>
      <c r="C9" s="4">
        <v>298283337</v>
      </c>
      <c r="D9" s="4">
        <v>289744796</v>
      </c>
      <c r="E9" s="4">
        <v>262457625</v>
      </c>
      <c r="F9" s="4">
        <v>267304556</v>
      </c>
      <c r="G9" s="4">
        <v>300323635</v>
      </c>
      <c r="H9" s="4"/>
    </row>
    <row r="10" spans="1:8" x14ac:dyDescent="0.3">
      <c r="A10" t="s">
        <v>28</v>
      </c>
      <c r="C10" s="4">
        <v>188710823</v>
      </c>
      <c r="D10" s="4">
        <v>188293077</v>
      </c>
      <c r="E10" s="4">
        <v>305851655</v>
      </c>
      <c r="F10" s="4">
        <v>446329786</v>
      </c>
      <c r="G10" s="4">
        <v>373854439</v>
      </c>
      <c r="H10" s="4"/>
    </row>
    <row r="11" spans="1:8" x14ac:dyDescent="0.3">
      <c r="A11" t="s">
        <v>29</v>
      </c>
      <c r="C11" t="s">
        <v>24</v>
      </c>
      <c r="D11" s="4">
        <v>171378178</v>
      </c>
      <c r="E11" s="4">
        <v>219552032</v>
      </c>
      <c r="F11" s="4">
        <v>158594340</v>
      </c>
      <c r="G11" s="4">
        <v>178987434</v>
      </c>
      <c r="H11" s="4"/>
    </row>
    <row r="12" spans="1:8" x14ac:dyDescent="0.3">
      <c r="A12" t="s">
        <v>30</v>
      </c>
      <c r="C12" s="4">
        <v>215347109</v>
      </c>
      <c r="D12" s="4">
        <v>224070875</v>
      </c>
      <c r="E12" s="4">
        <v>165312520</v>
      </c>
      <c r="F12" s="4">
        <v>141797403</v>
      </c>
      <c r="G12" s="4">
        <v>169892545</v>
      </c>
      <c r="H12" s="4"/>
    </row>
    <row r="13" spans="1:8" x14ac:dyDescent="0.3">
      <c r="A13" t="s">
        <v>31</v>
      </c>
      <c r="C13" s="4">
        <v>361213480</v>
      </c>
      <c r="D13" s="4">
        <v>326047287</v>
      </c>
      <c r="E13" s="4">
        <v>291132330</v>
      </c>
      <c r="F13" s="4">
        <v>255144068</v>
      </c>
      <c r="G13" s="4">
        <v>223311071</v>
      </c>
      <c r="H13" s="9"/>
    </row>
    <row r="14" spans="1:8" x14ac:dyDescent="0.3">
      <c r="A14" t="s">
        <v>32</v>
      </c>
      <c r="C14" s="4">
        <v>13964956</v>
      </c>
      <c r="D14" s="4">
        <v>26962658</v>
      </c>
      <c r="E14" s="4">
        <v>18629400</v>
      </c>
      <c r="F14" s="4">
        <v>28249941</v>
      </c>
      <c r="G14" s="4">
        <v>15844062</v>
      </c>
      <c r="H14" s="4"/>
    </row>
    <row r="15" spans="1:8" ht="15.6" x14ac:dyDescent="0.3">
      <c r="A15" s="2" t="s">
        <v>33</v>
      </c>
      <c r="B15" s="2"/>
      <c r="C15" s="3">
        <v>1478932632</v>
      </c>
      <c r="D15" s="3">
        <v>1511449834</v>
      </c>
      <c r="E15" s="3">
        <v>1545062262</v>
      </c>
      <c r="F15" s="3">
        <v>1517911318</v>
      </c>
      <c r="G15" s="3">
        <v>1405735889</v>
      </c>
      <c r="H15" s="3"/>
    </row>
    <row r="16" spans="1:8" ht="15.6" x14ac:dyDescent="0.3">
      <c r="A16" s="2" t="s">
        <v>34</v>
      </c>
      <c r="B16" s="2"/>
      <c r="C16" s="3">
        <v>2495267206</v>
      </c>
      <c r="D16" s="3">
        <v>2543534425</v>
      </c>
      <c r="E16" s="3">
        <v>2005398601</v>
      </c>
      <c r="F16" s="3">
        <v>1960224320</v>
      </c>
      <c r="G16" s="3">
        <v>1760878387</v>
      </c>
      <c r="H16" s="3"/>
    </row>
    <row r="17" spans="1:8" x14ac:dyDescent="0.3">
      <c r="A17" t="s">
        <v>35</v>
      </c>
      <c r="C17" s="4">
        <v>613651500</v>
      </c>
      <c r="D17" s="4">
        <v>613651500</v>
      </c>
      <c r="E17" s="4">
        <v>613651500</v>
      </c>
      <c r="F17" s="4">
        <v>613651500</v>
      </c>
      <c r="G17" s="4">
        <v>613651500</v>
      </c>
      <c r="H17" s="4"/>
    </row>
    <row r="18" spans="1:8" x14ac:dyDescent="0.3">
      <c r="A18" t="s">
        <v>36</v>
      </c>
      <c r="C18" s="4">
        <v>467003358</v>
      </c>
      <c r="D18" s="4">
        <v>473502357</v>
      </c>
      <c r="E18" s="18" t="s">
        <v>24</v>
      </c>
      <c r="F18" s="18" t="s">
        <v>24</v>
      </c>
      <c r="G18" s="18" t="s">
        <v>24</v>
      </c>
      <c r="H18" s="18"/>
    </row>
    <row r="19" spans="1:8" x14ac:dyDescent="0.3">
      <c r="A19" t="s">
        <v>37</v>
      </c>
      <c r="C19" s="4">
        <v>36712385</v>
      </c>
      <c r="D19" s="4">
        <v>21469808</v>
      </c>
      <c r="E19" s="4">
        <v>29737202</v>
      </c>
      <c r="F19" s="9">
        <v>43906010</v>
      </c>
      <c r="G19" s="4">
        <v>45845539</v>
      </c>
      <c r="H19" s="4"/>
    </row>
    <row r="20" spans="1:8" ht="15.6" x14ac:dyDescent="0.3">
      <c r="A20" s="2" t="s">
        <v>38</v>
      </c>
      <c r="B20" s="2"/>
      <c r="C20" s="3">
        <v>1117367243</v>
      </c>
      <c r="D20" s="3">
        <v>1108623665</v>
      </c>
      <c r="E20" s="3">
        <v>643388702</v>
      </c>
      <c r="F20" s="3">
        <v>657557510</v>
      </c>
      <c r="G20" s="3">
        <v>659497039</v>
      </c>
      <c r="H20" s="3"/>
    </row>
    <row r="21" spans="1:8" ht="15.6" x14ac:dyDescent="0.3">
      <c r="A21" s="2" t="s">
        <v>39</v>
      </c>
      <c r="B21" s="2"/>
      <c r="C21" s="3">
        <v>1117367243</v>
      </c>
      <c r="D21" s="3">
        <v>1108623665</v>
      </c>
      <c r="E21" s="3">
        <v>643388702</v>
      </c>
      <c r="F21" s="3">
        <v>657557510</v>
      </c>
      <c r="G21" s="3">
        <v>659497039</v>
      </c>
      <c r="H21" s="3"/>
    </row>
    <row r="22" spans="1:8" x14ac:dyDescent="0.3">
      <c r="A22" t="s">
        <v>40</v>
      </c>
      <c r="C22" s="4">
        <v>375172771</v>
      </c>
      <c r="D22" s="4">
        <v>410859778</v>
      </c>
      <c r="E22" s="18" t="s">
        <v>24</v>
      </c>
      <c r="F22" s="18" t="s">
        <v>24</v>
      </c>
      <c r="G22" s="18" t="s">
        <v>24</v>
      </c>
      <c r="H22" s="18"/>
    </row>
    <row r="23" spans="1:8" x14ac:dyDescent="0.3">
      <c r="A23" t="s">
        <v>41</v>
      </c>
      <c r="C23" s="4">
        <v>157771520</v>
      </c>
      <c r="D23" s="4">
        <v>166337103</v>
      </c>
      <c r="E23" s="4">
        <v>66992628</v>
      </c>
      <c r="F23" s="4">
        <v>66489985</v>
      </c>
      <c r="G23" s="4">
        <v>70797650</v>
      </c>
      <c r="H23" s="4"/>
    </row>
    <row r="24" spans="1:8" ht="15.6" x14ac:dyDescent="0.3">
      <c r="A24" s="2" t="s">
        <v>42</v>
      </c>
      <c r="B24" s="2"/>
      <c r="C24" s="3">
        <v>532944291</v>
      </c>
      <c r="D24" s="3">
        <v>577196881</v>
      </c>
      <c r="E24" s="3">
        <v>66992628</v>
      </c>
      <c r="F24" s="3">
        <v>66489985</v>
      </c>
      <c r="G24" s="3">
        <v>70797650</v>
      </c>
      <c r="H24" s="3"/>
    </row>
    <row r="25" spans="1:8" x14ac:dyDescent="0.3">
      <c r="A25" t="s">
        <v>43</v>
      </c>
      <c r="C25" s="4">
        <v>552345251</v>
      </c>
      <c r="D25" s="4">
        <v>536354828</v>
      </c>
      <c r="E25" s="4">
        <v>994809360</v>
      </c>
      <c r="F25" s="4">
        <v>917161001</v>
      </c>
      <c r="G25" s="4">
        <v>717600546</v>
      </c>
      <c r="H25" s="4"/>
    </row>
    <row r="26" spans="1:8" x14ac:dyDescent="0.3">
      <c r="A26" t="s">
        <v>44</v>
      </c>
      <c r="C26" s="4">
        <v>50423520</v>
      </c>
      <c r="D26" s="4">
        <v>68574255</v>
      </c>
      <c r="E26" s="4">
        <v>9201738</v>
      </c>
      <c r="F26" s="4">
        <v>14356838</v>
      </c>
      <c r="G26" s="4">
        <v>8039454</v>
      </c>
      <c r="H26" s="4"/>
    </row>
    <row r="27" spans="1:8" x14ac:dyDescent="0.3">
      <c r="A27" t="s">
        <v>45</v>
      </c>
      <c r="C27" s="4">
        <v>214972098</v>
      </c>
      <c r="D27" s="4">
        <v>235091322</v>
      </c>
      <c r="E27" s="4">
        <v>217466613</v>
      </c>
      <c r="F27" s="4">
        <v>234645434</v>
      </c>
      <c r="G27" s="4">
        <v>240658591</v>
      </c>
      <c r="H27" s="4"/>
    </row>
    <row r="28" spans="1:8" x14ac:dyDescent="0.3">
      <c r="A28" t="s">
        <v>46</v>
      </c>
      <c r="C28" s="4">
        <v>1342061</v>
      </c>
      <c r="D28" s="4">
        <v>476309</v>
      </c>
      <c r="E28" s="4">
        <v>2219381</v>
      </c>
      <c r="F28" s="4">
        <v>1629025</v>
      </c>
      <c r="G28" s="4">
        <v>2188695</v>
      </c>
      <c r="H28" s="4"/>
    </row>
    <row r="29" spans="1:8" x14ac:dyDescent="0.3">
      <c r="A29" t="s">
        <v>47</v>
      </c>
      <c r="C29" s="4">
        <v>1739657</v>
      </c>
      <c r="D29" s="4">
        <v>2292664</v>
      </c>
      <c r="E29" s="4">
        <v>3584202</v>
      </c>
      <c r="F29" s="4">
        <v>5730154</v>
      </c>
      <c r="G29" s="4">
        <v>7587964</v>
      </c>
      <c r="H29" s="4"/>
    </row>
    <row r="30" spans="1:8" x14ac:dyDescent="0.3">
      <c r="A30" t="s">
        <v>48</v>
      </c>
      <c r="C30" s="4">
        <v>14924500</v>
      </c>
      <c r="D30" s="4">
        <v>14924500</v>
      </c>
      <c r="E30" s="4">
        <v>14924500</v>
      </c>
      <c r="F30" s="4">
        <v>14924500</v>
      </c>
      <c r="G30" s="4">
        <v>14924500</v>
      </c>
      <c r="H30" s="4"/>
    </row>
    <row r="31" spans="1:8" x14ac:dyDescent="0.3">
      <c r="A31" t="s">
        <v>49</v>
      </c>
      <c r="C31" s="18" t="s">
        <v>24</v>
      </c>
      <c r="D31" s="18" t="s">
        <v>24</v>
      </c>
      <c r="E31" s="4">
        <v>52811477</v>
      </c>
      <c r="F31" s="4">
        <v>47729073</v>
      </c>
      <c r="G31" s="4">
        <v>39583946</v>
      </c>
      <c r="H31" s="4"/>
    </row>
    <row r="32" spans="1:8" x14ac:dyDescent="0.3">
      <c r="A32" t="s">
        <v>50</v>
      </c>
      <c r="C32" s="4">
        <v>9208586</v>
      </c>
      <c r="D32" s="18" t="s">
        <v>24</v>
      </c>
      <c r="E32" s="18" t="s">
        <v>24</v>
      </c>
      <c r="F32" s="18" t="s">
        <v>24</v>
      </c>
      <c r="G32" s="18" t="s">
        <v>24</v>
      </c>
      <c r="H32" s="18"/>
    </row>
    <row r="33" spans="1:8" ht="15.6" x14ac:dyDescent="0.3">
      <c r="A33" s="2" t="s">
        <v>51</v>
      </c>
      <c r="B33" s="2"/>
      <c r="C33" s="3">
        <v>844955673</v>
      </c>
      <c r="D33" s="3">
        <v>857713878</v>
      </c>
      <c r="E33" s="3">
        <v>1295017974</v>
      </c>
      <c r="F33" s="3">
        <v>1236176825</v>
      </c>
      <c r="G33" s="3">
        <v>1030583696</v>
      </c>
      <c r="H33" s="3"/>
    </row>
    <row r="34" spans="1:8" ht="15.6" x14ac:dyDescent="0.3">
      <c r="A34" s="2" t="s">
        <v>52</v>
      </c>
      <c r="B34" s="2"/>
      <c r="C34" s="3">
        <v>495267208</v>
      </c>
      <c r="D34" s="3">
        <v>3543534495</v>
      </c>
      <c r="E34" s="3">
        <v>2005398601</v>
      </c>
      <c r="F34" s="3">
        <v>1960224320</v>
      </c>
      <c r="G34" s="3">
        <v>1760878385</v>
      </c>
      <c r="H34" s="3"/>
    </row>
    <row r="35" spans="1:8" x14ac:dyDescent="0.3">
      <c r="A35" t="s">
        <v>73</v>
      </c>
      <c r="C35">
        <v>18.100000000000001</v>
      </c>
      <c r="D35">
        <v>20.6</v>
      </c>
      <c r="E35">
        <v>11.55</v>
      </c>
      <c r="F35">
        <v>11.13</v>
      </c>
      <c r="G35">
        <v>14.38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6C41B-0F0F-47D0-B8D8-7BC3B523C95A}">
  <dimension ref="A1:M34"/>
  <sheetViews>
    <sheetView zoomScale="95" zoomScaleNormal="94" workbookViewId="0">
      <selection sqref="A1:L1"/>
    </sheetView>
  </sheetViews>
  <sheetFormatPr defaultColWidth="12.44140625" defaultRowHeight="14.4" x14ac:dyDescent="0.3"/>
  <cols>
    <col min="1" max="1" width="47.77734375" customWidth="1"/>
    <col min="2" max="2" width="18" customWidth="1"/>
    <col min="3" max="3" width="17.88671875" customWidth="1"/>
    <col min="4" max="4" width="18.5546875" customWidth="1"/>
    <col min="5" max="5" width="19.109375" customWidth="1"/>
    <col min="6" max="6" width="18.44140625" customWidth="1"/>
    <col min="7" max="7" width="18" customWidth="1"/>
    <col min="8" max="8" width="18.44140625" customWidth="1"/>
    <col min="9" max="9" width="17.6640625" customWidth="1"/>
    <col min="10" max="10" width="18.6640625" customWidth="1"/>
    <col min="11" max="11" width="17.5546875" customWidth="1"/>
    <col min="12" max="12" width="24.44140625" customWidth="1"/>
    <col min="13" max="13" width="26.88671875" customWidth="1"/>
  </cols>
  <sheetData>
    <row r="1" spans="1:13" ht="21" x14ac:dyDescent="0.4">
      <c r="A1" s="20" t="s">
        <v>69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3" spans="1:13" ht="15.6" x14ac:dyDescent="0.3">
      <c r="A3" s="7" t="s">
        <v>1</v>
      </c>
      <c r="B3" s="1">
        <v>2022</v>
      </c>
      <c r="C3" s="1" t="s">
        <v>74</v>
      </c>
      <c r="D3" s="1">
        <v>2021</v>
      </c>
      <c r="E3" s="1" t="s">
        <v>74</v>
      </c>
      <c r="F3" s="1">
        <v>2020</v>
      </c>
      <c r="G3" s="1" t="s">
        <v>74</v>
      </c>
      <c r="H3" s="1">
        <v>2019</v>
      </c>
      <c r="I3" s="1" t="s">
        <v>74</v>
      </c>
      <c r="J3" s="1">
        <v>2018</v>
      </c>
      <c r="K3" s="1" t="s">
        <v>74</v>
      </c>
      <c r="L3" s="1"/>
      <c r="M3" s="1"/>
    </row>
    <row r="4" spans="1:13" x14ac:dyDescent="0.3">
      <c r="A4" t="s">
        <v>21</v>
      </c>
      <c r="B4" s="4">
        <v>1015509672</v>
      </c>
      <c r="C4" s="14">
        <f>B4/$B$16</f>
        <v>0.40697431904613424</v>
      </c>
      <c r="D4" s="4">
        <v>1031206714</v>
      </c>
      <c r="E4" s="14">
        <f>D4/$D$16</f>
        <v>0.40542274712873211</v>
      </c>
      <c r="F4" s="4">
        <v>459619411</v>
      </c>
      <c r="G4" s="14">
        <f>F4/$F$16</f>
        <v>0.22919104998418216</v>
      </c>
      <c r="H4" s="4">
        <v>441596074</v>
      </c>
      <c r="I4" s="14">
        <f>H4/$H$16</f>
        <v>0.22527833651201715</v>
      </c>
      <c r="J4" s="4">
        <v>514937045</v>
      </c>
      <c r="K4" s="14">
        <f>J4/$J$16</f>
        <v>0.29243191852521727</v>
      </c>
      <c r="L4" s="4"/>
      <c r="M4" s="14"/>
    </row>
    <row r="5" spans="1:13" s="8" customFormat="1" x14ac:dyDescent="0.3">
      <c r="A5" s="13" t="s">
        <v>22</v>
      </c>
      <c r="B5" s="8">
        <v>824901</v>
      </c>
      <c r="C5" s="14">
        <f t="shared" ref="C5:C34" si="0">B5/$B$16</f>
        <v>3.3058623862666195E-4</v>
      </c>
      <c r="D5" s="8">
        <v>877876</v>
      </c>
      <c r="E5" s="14">
        <f t="shared" ref="E5:E34" si="1">D5/$D$16</f>
        <v>3.4514020780355666E-4</v>
      </c>
      <c r="F5" s="9">
        <v>716928</v>
      </c>
      <c r="G5" s="14">
        <f t="shared" ref="G5:G34" si="2">F5/$F$16</f>
        <v>3.5749900276309211E-4</v>
      </c>
      <c r="H5" s="9">
        <v>716928</v>
      </c>
      <c r="I5" s="14">
        <f t="shared" ref="I5:I34" si="3">H5/$H$16</f>
        <v>3.6573773352633438E-4</v>
      </c>
      <c r="J5" s="9">
        <v>716928</v>
      </c>
      <c r="K5" s="14">
        <f t="shared" ref="K5:K34" si="4">J5/$J$16</f>
        <v>4.0714225655380255E-4</v>
      </c>
      <c r="M5" s="17"/>
    </row>
    <row r="6" spans="1:13" ht="15.6" x14ac:dyDescent="0.3">
      <c r="A6" t="s">
        <v>23</v>
      </c>
      <c r="B6" s="18" t="s">
        <v>24</v>
      </c>
      <c r="C6" s="17" t="s">
        <v>24</v>
      </c>
      <c r="D6" s="18" t="s">
        <v>24</v>
      </c>
      <c r="E6" s="17" t="s">
        <v>24</v>
      </c>
      <c r="F6" s="18" t="s">
        <v>24</v>
      </c>
      <c r="G6" s="17" t="s">
        <v>24</v>
      </c>
      <c r="H6" s="18" t="s">
        <v>24</v>
      </c>
      <c r="I6" s="17" t="s">
        <v>24</v>
      </c>
      <c r="J6" s="5">
        <v>-160511475</v>
      </c>
      <c r="K6" s="14">
        <f t="shared" si="4"/>
        <v>-9.1154208141234913E-2</v>
      </c>
      <c r="L6" s="5"/>
      <c r="M6" s="14"/>
    </row>
    <row r="7" spans="1:13" s="8" customFormat="1" ht="15.6" x14ac:dyDescent="0.3">
      <c r="A7" s="7" t="s">
        <v>25</v>
      </c>
      <c r="B7" s="11">
        <v>1016334574</v>
      </c>
      <c r="C7" s="14">
        <f t="shared" si="0"/>
        <v>0.40730490568551958</v>
      </c>
      <c r="D7" s="11">
        <v>1032084591</v>
      </c>
      <c r="E7" s="14">
        <f t="shared" si="1"/>
        <v>0.40576788772968936</v>
      </c>
      <c r="F7" s="11">
        <v>460336339</v>
      </c>
      <c r="G7" s="14">
        <f t="shared" si="2"/>
        <v>0.22954854898694527</v>
      </c>
      <c r="H7" s="11">
        <v>442313002</v>
      </c>
      <c r="I7" s="14">
        <f t="shared" si="3"/>
        <v>0.2256440742455435</v>
      </c>
      <c r="J7" s="11">
        <v>355142498</v>
      </c>
      <c r="K7" s="14">
        <f t="shared" si="4"/>
        <v>0.20168485264053615</v>
      </c>
      <c r="L7" s="11"/>
      <c r="M7" s="14"/>
    </row>
    <row r="8" spans="1:13" x14ac:dyDescent="0.3">
      <c r="A8" t="s">
        <v>26</v>
      </c>
      <c r="B8" s="4">
        <v>401412927</v>
      </c>
      <c r="C8" s="14">
        <f t="shared" si="0"/>
        <v>0.16086971609083858</v>
      </c>
      <c r="D8" s="4">
        <v>284952963</v>
      </c>
      <c r="E8" s="14">
        <f t="shared" si="1"/>
        <v>0.11203031506050877</v>
      </c>
      <c r="F8" s="4">
        <v>282126699</v>
      </c>
      <c r="G8" s="14">
        <f t="shared" si="2"/>
        <v>0.14068360218228754</v>
      </c>
      <c r="H8" s="4">
        <v>220491223</v>
      </c>
      <c r="I8" s="14">
        <f t="shared" si="3"/>
        <v>0.11248264841444269</v>
      </c>
      <c r="J8" s="4">
        <v>143522703</v>
      </c>
      <c r="K8" s="14">
        <f t="shared" si="4"/>
        <v>8.1506311883649693E-2</v>
      </c>
      <c r="L8" s="4"/>
      <c r="M8" s="14"/>
    </row>
    <row r="9" spans="1:13" x14ac:dyDescent="0.3">
      <c r="A9" t="s">
        <v>27</v>
      </c>
      <c r="B9" s="4">
        <v>298283337</v>
      </c>
      <c r="C9" s="14">
        <f t="shared" si="0"/>
        <v>0.11953963739144335</v>
      </c>
      <c r="D9" s="4">
        <v>289744796</v>
      </c>
      <c r="E9" s="14">
        <f t="shared" si="1"/>
        <v>0.11391424199025732</v>
      </c>
      <c r="F9" s="4">
        <v>262457625</v>
      </c>
      <c r="G9" s="14">
        <f t="shared" si="2"/>
        <v>0.13087554008919947</v>
      </c>
      <c r="H9" s="4">
        <v>267304556</v>
      </c>
      <c r="I9" s="14">
        <f t="shared" si="3"/>
        <v>0.13636426875879185</v>
      </c>
      <c r="J9" s="4">
        <v>300323635</v>
      </c>
      <c r="K9" s="14">
        <f t="shared" si="4"/>
        <v>0.17055330863118828</v>
      </c>
      <c r="L9" s="4"/>
      <c r="M9" s="14"/>
    </row>
    <row r="10" spans="1:13" x14ac:dyDescent="0.3">
      <c r="A10" t="s">
        <v>28</v>
      </c>
      <c r="B10" s="4">
        <v>188710823</v>
      </c>
      <c r="C10" s="14">
        <f t="shared" si="0"/>
        <v>7.5627500953098323E-2</v>
      </c>
      <c r="D10" s="4">
        <v>188293077</v>
      </c>
      <c r="E10" s="14">
        <f t="shared" si="1"/>
        <v>7.4028122108078021E-2</v>
      </c>
      <c r="F10" s="4">
        <v>305851655</v>
      </c>
      <c r="G10" s="14">
        <f t="shared" si="2"/>
        <v>0.15251414598947355</v>
      </c>
      <c r="H10" s="4">
        <v>446329786</v>
      </c>
      <c r="I10" s="14">
        <f t="shared" si="3"/>
        <v>0.22769321931481801</v>
      </c>
      <c r="J10" s="4">
        <v>373854439</v>
      </c>
      <c r="K10" s="14">
        <f t="shared" si="4"/>
        <v>0.21231133379797681</v>
      </c>
      <c r="L10" s="4"/>
      <c r="M10" s="14"/>
    </row>
    <row r="11" spans="1:13" x14ac:dyDescent="0.3">
      <c r="A11" t="s">
        <v>29</v>
      </c>
      <c r="B11" s="18" t="s">
        <v>24</v>
      </c>
      <c r="C11" s="17" t="s">
        <v>24</v>
      </c>
      <c r="D11" s="4">
        <v>171378178</v>
      </c>
      <c r="E11" s="14">
        <f t="shared" si="1"/>
        <v>6.7377966783366813E-2</v>
      </c>
      <c r="F11" s="4">
        <v>219552032</v>
      </c>
      <c r="G11" s="14">
        <f t="shared" si="2"/>
        <v>0.10948049524444642</v>
      </c>
      <c r="H11" s="4">
        <v>158594340</v>
      </c>
      <c r="I11" s="14">
        <f t="shared" si="3"/>
        <v>8.0906219957519968E-2</v>
      </c>
      <c r="J11" s="4">
        <v>178987434</v>
      </c>
      <c r="K11" s="14">
        <f t="shared" si="4"/>
        <v>0.10164667550093566</v>
      </c>
      <c r="L11" s="4"/>
      <c r="M11" s="14"/>
    </row>
    <row r="12" spans="1:13" x14ac:dyDescent="0.3">
      <c r="A12" t="s">
        <v>30</v>
      </c>
      <c r="B12" s="4">
        <v>215347109</v>
      </c>
      <c r="C12" s="14">
        <f t="shared" si="0"/>
        <v>8.6302223858906429E-2</v>
      </c>
      <c r="D12" s="4">
        <v>224070875</v>
      </c>
      <c r="E12" s="14">
        <f t="shared" si="1"/>
        <v>8.8094296187872512E-2</v>
      </c>
      <c r="F12" s="4">
        <v>165312520</v>
      </c>
      <c r="G12" s="14">
        <f t="shared" si="2"/>
        <v>8.2433746546729539E-2</v>
      </c>
      <c r="H12" s="4">
        <v>141797403</v>
      </c>
      <c r="I12" s="14">
        <f t="shared" si="3"/>
        <v>7.2337334841351214E-2</v>
      </c>
      <c r="J12" s="4">
        <v>169892545</v>
      </c>
      <c r="K12" s="14">
        <f t="shared" si="4"/>
        <v>9.6481702685581316E-2</v>
      </c>
      <c r="L12" s="4"/>
      <c r="M12" s="14"/>
    </row>
    <row r="13" spans="1:13" x14ac:dyDescent="0.3">
      <c r="A13" t="s">
        <v>31</v>
      </c>
      <c r="B13" s="4">
        <v>361213480</v>
      </c>
      <c r="C13" s="14">
        <f t="shared" si="0"/>
        <v>0.1447594386410575</v>
      </c>
      <c r="D13" s="4">
        <v>326047287</v>
      </c>
      <c r="E13" s="14">
        <f t="shared" si="1"/>
        <v>0.12818670107049956</v>
      </c>
      <c r="F13" s="4">
        <v>291132330</v>
      </c>
      <c r="G13" s="14">
        <f t="shared" si="2"/>
        <v>0.14517429595035405</v>
      </c>
      <c r="H13" s="4">
        <v>255144068</v>
      </c>
      <c r="I13" s="14">
        <f t="shared" si="3"/>
        <v>0.13016064814459602</v>
      </c>
      <c r="J13" s="4">
        <v>223311071</v>
      </c>
      <c r="K13" s="14">
        <f t="shared" si="4"/>
        <v>0.12681799756793766</v>
      </c>
      <c r="L13" s="9"/>
      <c r="M13" s="14"/>
    </row>
    <row r="14" spans="1:13" x14ac:dyDescent="0.3">
      <c r="A14" t="s">
        <v>32</v>
      </c>
      <c r="B14" s="4">
        <v>13964956</v>
      </c>
      <c r="C14" s="14">
        <f t="shared" si="0"/>
        <v>5.5965773791362044E-3</v>
      </c>
      <c r="D14" s="4">
        <v>26962658</v>
      </c>
      <c r="E14" s="14">
        <f t="shared" si="1"/>
        <v>1.0600469069727649E-2</v>
      </c>
      <c r="F14" s="4">
        <v>18629400</v>
      </c>
      <c r="G14" s="14">
        <f t="shared" si="2"/>
        <v>9.2896245119101894E-3</v>
      </c>
      <c r="H14" s="4">
        <v>28249941</v>
      </c>
      <c r="I14" s="14">
        <f t="shared" si="3"/>
        <v>1.4411585812791058E-2</v>
      </c>
      <c r="J14" s="4">
        <v>15844062</v>
      </c>
      <c r="K14" s="14">
        <f t="shared" si="4"/>
        <v>8.9978172921944093E-3</v>
      </c>
      <c r="L14" s="4"/>
      <c r="M14" s="14"/>
    </row>
    <row r="15" spans="1:13" ht="15.6" x14ac:dyDescent="0.3">
      <c r="A15" s="2" t="s">
        <v>33</v>
      </c>
      <c r="B15" s="3">
        <v>1478932632</v>
      </c>
      <c r="C15" s="14">
        <f t="shared" si="0"/>
        <v>0.59269509431448042</v>
      </c>
      <c r="D15" s="3">
        <v>1511449834</v>
      </c>
      <c r="E15" s="14">
        <f t="shared" si="1"/>
        <v>0.59423211227031059</v>
      </c>
      <c r="F15" s="3">
        <v>1545062262</v>
      </c>
      <c r="G15" s="14">
        <f t="shared" si="2"/>
        <v>0.77045145101305479</v>
      </c>
      <c r="H15" s="3">
        <v>1517911318</v>
      </c>
      <c r="I15" s="14">
        <f t="shared" si="3"/>
        <v>0.77435592575445655</v>
      </c>
      <c r="J15" s="3">
        <v>1405735889</v>
      </c>
      <c r="K15" s="14">
        <f t="shared" si="4"/>
        <v>0.79831514735946385</v>
      </c>
      <c r="L15" s="3"/>
      <c r="M15" s="14"/>
    </row>
    <row r="16" spans="1:13" ht="15.6" x14ac:dyDescent="0.3">
      <c r="A16" s="2" t="s">
        <v>34</v>
      </c>
      <c r="B16" s="3">
        <v>2495267206</v>
      </c>
      <c r="C16" s="14">
        <f t="shared" si="0"/>
        <v>1</v>
      </c>
      <c r="D16" s="3">
        <v>2543534425</v>
      </c>
      <c r="E16" s="14">
        <f t="shared" si="1"/>
        <v>1</v>
      </c>
      <c r="F16" s="3">
        <v>2005398601</v>
      </c>
      <c r="G16" s="14">
        <f t="shared" si="2"/>
        <v>1</v>
      </c>
      <c r="H16" s="3">
        <v>1960224320</v>
      </c>
      <c r="I16" s="14">
        <f t="shared" si="3"/>
        <v>1</v>
      </c>
      <c r="J16" s="3">
        <v>1760878387</v>
      </c>
      <c r="K16" s="14">
        <f t="shared" si="4"/>
        <v>1</v>
      </c>
      <c r="L16" s="3"/>
      <c r="M16" s="14"/>
    </row>
    <row r="17" spans="1:13" x14ac:dyDescent="0.3">
      <c r="A17" t="s">
        <v>35</v>
      </c>
      <c r="B17" s="4">
        <v>613651500</v>
      </c>
      <c r="C17" s="14">
        <f t="shared" si="0"/>
        <v>0.24592616715534232</v>
      </c>
      <c r="D17" s="4">
        <v>613651500</v>
      </c>
      <c r="E17" s="14">
        <f t="shared" si="1"/>
        <v>0.24125936490912639</v>
      </c>
      <c r="F17" s="4">
        <v>613651500</v>
      </c>
      <c r="G17" s="14">
        <f t="shared" si="2"/>
        <v>0.30599976468219348</v>
      </c>
      <c r="H17" s="4">
        <v>613651500</v>
      </c>
      <c r="I17" s="14">
        <f t="shared" si="3"/>
        <v>0.31305167155563096</v>
      </c>
      <c r="J17" s="4">
        <v>613651500</v>
      </c>
      <c r="K17" s="14">
        <f t="shared" si="4"/>
        <v>0.3484916985354537</v>
      </c>
      <c r="L17" s="4"/>
      <c r="M17" s="14"/>
    </row>
    <row r="18" spans="1:13" x14ac:dyDescent="0.3">
      <c r="A18" t="s">
        <v>36</v>
      </c>
      <c r="B18" s="4">
        <v>467003358</v>
      </c>
      <c r="C18" s="14">
        <f t="shared" si="0"/>
        <v>0.18715565085657604</v>
      </c>
      <c r="D18" s="4">
        <v>473502357</v>
      </c>
      <c r="E18" s="14">
        <f t="shared" si="1"/>
        <v>0.18615920914850603</v>
      </c>
      <c r="F18" s="18" t="s">
        <v>24</v>
      </c>
      <c r="G18" s="17" t="s">
        <v>24</v>
      </c>
      <c r="H18" s="18" t="s">
        <v>24</v>
      </c>
      <c r="I18" s="17" t="s">
        <v>24</v>
      </c>
      <c r="J18" s="18" t="s">
        <v>24</v>
      </c>
      <c r="K18" s="17" t="s">
        <v>24</v>
      </c>
      <c r="L18" s="18"/>
      <c r="M18" s="17"/>
    </row>
    <row r="19" spans="1:13" x14ac:dyDescent="0.3">
      <c r="A19" t="s">
        <v>37</v>
      </c>
      <c r="B19" s="4">
        <v>36712385</v>
      </c>
      <c r="C19" s="14">
        <f t="shared" si="0"/>
        <v>1.4712807074017226E-2</v>
      </c>
      <c r="D19" s="4">
        <v>21469808</v>
      </c>
      <c r="E19" s="14">
        <f t="shared" si="1"/>
        <v>8.4409347044713187E-3</v>
      </c>
      <c r="F19" s="4">
        <v>29737202</v>
      </c>
      <c r="G19" s="14">
        <f t="shared" si="2"/>
        <v>1.4828574222187762E-2</v>
      </c>
      <c r="H19" s="9">
        <v>43906010</v>
      </c>
      <c r="I19" s="14">
        <f t="shared" si="3"/>
        <v>2.2398462029080426E-2</v>
      </c>
      <c r="J19" s="4">
        <v>45845539</v>
      </c>
      <c r="K19" s="14">
        <f t="shared" si="4"/>
        <v>2.6035607761707397E-2</v>
      </c>
      <c r="L19" s="4"/>
      <c r="M19" s="14"/>
    </row>
    <row r="20" spans="1:13" ht="15.6" x14ac:dyDescent="0.3">
      <c r="A20" s="2" t="s">
        <v>38</v>
      </c>
      <c r="B20" s="3">
        <v>1117367243</v>
      </c>
      <c r="C20" s="14">
        <f t="shared" si="0"/>
        <v>0.44779462508593559</v>
      </c>
      <c r="D20" s="3">
        <v>1108623665</v>
      </c>
      <c r="E20" s="14">
        <f t="shared" si="1"/>
        <v>0.43585950876210372</v>
      </c>
      <c r="F20" s="3">
        <v>643388702</v>
      </c>
      <c r="G20" s="14">
        <f t="shared" si="2"/>
        <v>0.32082833890438123</v>
      </c>
      <c r="H20" s="3">
        <v>657557510</v>
      </c>
      <c r="I20" s="14">
        <f t="shared" si="3"/>
        <v>0.33545013358471137</v>
      </c>
      <c r="J20" s="3">
        <v>659497039</v>
      </c>
      <c r="K20" s="14">
        <f t="shared" si="4"/>
        <v>0.37452730629716113</v>
      </c>
      <c r="L20" s="3"/>
      <c r="M20" s="14"/>
    </row>
    <row r="21" spans="1:13" ht="15.6" x14ac:dyDescent="0.3">
      <c r="A21" s="2" t="s">
        <v>39</v>
      </c>
      <c r="B21" s="3">
        <v>1117367243</v>
      </c>
      <c r="C21" s="14">
        <f t="shared" si="0"/>
        <v>0.44779462508593559</v>
      </c>
      <c r="D21" s="3">
        <v>1108623665</v>
      </c>
      <c r="E21" s="14">
        <f t="shared" si="1"/>
        <v>0.43585950876210372</v>
      </c>
      <c r="F21" s="3">
        <v>643388702</v>
      </c>
      <c r="G21" s="14">
        <f t="shared" si="2"/>
        <v>0.32082833890438123</v>
      </c>
      <c r="H21" s="3">
        <v>657557510</v>
      </c>
      <c r="I21" s="14">
        <f t="shared" si="3"/>
        <v>0.33545013358471137</v>
      </c>
      <c r="J21" s="3">
        <v>659497039</v>
      </c>
      <c r="K21" s="14">
        <f t="shared" si="4"/>
        <v>0.37452730629716113</v>
      </c>
      <c r="L21" s="3"/>
      <c r="M21" s="14"/>
    </row>
    <row r="22" spans="1:13" x14ac:dyDescent="0.3">
      <c r="A22" t="s">
        <v>40</v>
      </c>
      <c r="B22" s="4">
        <v>375172771</v>
      </c>
      <c r="C22" s="14">
        <f t="shared" si="0"/>
        <v>0.15035374572225271</v>
      </c>
      <c r="D22" s="4">
        <v>410859778</v>
      </c>
      <c r="E22" s="14">
        <f t="shared" si="1"/>
        <v>0.16153104670482296</v>
      </c>
      <c r="F22" s="18" t="s">
        <v>24</v>
      </c>
      <c r="G22" s="17" t="s">
        <v>24</v>
      </c>
      <c r="H22" s="18" t="s">
        <v>24</v>
      </c>
      <c r="I22" s="17" t="s">
        <v>24</v>
      </c>
      <c r="J22" s="18" t="s">
        <v>24</v>
      </c>
      <c r="K22" s="17" t="s">
        <v>24</v>
      </c>
      <c r="L22" s="18"/>
      <c r="M22" s="17"/>
    </row>
    <row r="23" spans="1:13" x14ac:dyDescent="0.3">
      <c r="A23" t="s">
        <v>41</v>
      </c>
      <c r="B23" s="4">
        <v>157771520</v>
      </c>
      <c r="C23" s="14">
        <f t="shared" si="0"/>
        <v>6.3228306620080665E-2</v>
      </c>
      <c r="D23" s="4">
        <v>166337103</v>
      </c>
      <c r="E23" s="14">
        <f t="shared" si="1"/>
        <v>6.5396049436209219E-2</v>
      </c>
      <c r="F23" s="4">
        <v>66992628</v>
      </c>
      <c r="G23" s="14">
        <f t="shared" si="2"/>
        <v>3.3406140787469313E-2</v>
      </c>
      <c r="H23" s="4">
        <v>66489985</v>
      </c>
      <c r="I23" s="14">
        <f t="shared" si="3"/>
        <v>3.3919579673412074E-2</v>
      </c>
      <c r="J23" s="4">
        <v>70797650</v>
      </c>
      <c r="K23" s="14">
        <f t="shared" si="4"/>
        <v>4.0205871412061348E-2</v>
      </c>
      <c r="L23" s="4"/>
      <c r="M23" s="14"/>
    </row>
    <row r="24" spans="1:13" ht="15.6" x14ac:dyDescent="0.3">
      <c r="A24" s="2" t="s">
        <v>42</v>
      </c>
      <c r="B24" s="3">
        <v>532944291</v>
      </c>
      <c r="C24" s="14">
        <f t="shared" si="0"/>
        <v>0.21358205234233341</v>
      </c>
      <c r="D24" s="3">
        <v>577196881</v>
      </c>
      <c r="E24" s="14">
        <f t="shared" si="1"/>
        <v>0.22692709614103218</v>
      </c>
      <c r="F24" s="3">
        <v>66992628</v>
      </c>
      <c r="G24" s="14">
        <f t="shared" si="2"/>
        <v>3.3406140787469313E-2</v>
      </c>
      <c r="H24" s="3">
        <v>66489985</v>
      </c>
      <c r="I24" s="14">
        <f t="shared" si="3"/>
        <v>3.3919579673412074E-2</v>
      </c>
      <c r="J24" s="3">
        <v>70797650</v>
      </c>
      <c r="K24" s="14">
        <f t="shared" si="4"/>
        <v>4.0205871412061348E-2</v>
      </c>
      <c r="L24" s="3"/>
      <c r="M24" s="14"/>
    </row>
    <row r="25" spans="1:13" x14ac:dyDescent="0.3">
      <c r="A25" t="s">
        <v>43</v>
      </c>
      <c r="B25" s="4">
        <v>552345251</v>
      </c>
      <c r="C25" s="14">
        <f t="shared" si="0"/>
        <v>0.22135715552701413</v>
      </c>
      <c r="D25" s="4">
        <v>536354828</v>
      </c>
      <c r="E25" s="14">
        <f t="shared" si="1"/>
        <v>0.21086989141104312</v>
      </c>
      <c r="F25" s="4">
        <v>994809360</v>
      </c>
      <c r="G25" s="14">
        <f t="shared" si="2"/>
        <v>0.49606564974361422</v>
      </c>
      <c r="H25" s="4">
        <v>917161001</v>
      </c>
      <c r="I25" s="14">
        <f t="shared" si="3"/>
        <v>0.46788573717930404</v>
      </c>
      <c r="J25" s="4">
        <v>717600546</v>
      </c>
      <c r="K25" s="14">
        <f t="shared" si="4"/>
        <v>0.40752419434403564</v>
      </c>
      <c r="L25" s="4"/>
      <c r="M25" s="14"/>
    </row>
    <row r="26" spans="1:13" x14ac:dyDescent="0.3">
      <c r="A26" t="s">
        <v>44</v>
      </c>
      <c r="B26" s="4">
        <v>50423520</v>
      </c>
      <c r="C26" s="14">
        <f t="shared" si="0"/>
        <v>2.0207663483395293E-2</v>
      </c>
      <c r="D26" s="4">
        <v>68574255</v>
      </c>
      <c r="E26" s="14">
        <f t="shared" si="1"/>
        <v>2.6960222879625465E-2</v>
      </c>
      <c r="F26" s="4">
        <v>9201738</v>
      </c>
      <c r="G26" s="14">
        <f t="shared" si="2"/>
        <v>4.5884833047213237E-3</v>
      </c>
      <c r="H26" s="4">
        <v>14356838</v>
      </c>
      <c r="I26" s="14">
        <f t="shared" si="3"/>
        <v>7.3240791135577793E-3</v>
      </c>
      <c r="J26" s="4">
        <v>8039454</v>
      </c>
      <c r="K26" s="14">
        <f t="shared" si="4"/>
        <v>4.5655929786819517E-3</v>
      </c>
      <c r="L26" s="4"/>
      <c r="M26" s="14"/>
    </row>
    <row r="27" spans="1:13" x14ac:dyDescent="0.3">
      <c r="A27" t="s">
        <v>45</v>
      </c>
      <c r="B27" s="4">
        <v>214972098</v>
      </c>
      <c r="C27" s="14">
        <f t="shared" si="0"/>
        <v>8.6151934944317138E-2</v>
      </c>
      <c r="D27" s="4">
        <v>235091322</v>
      </c>
      <c r="E27" s="14">
        <f t="shared" si="1"/>
        <v>9.2427025830405268E-2</v>
      </c>
      <c r="F27" s="4">
        <v>217466613</v>
      </c>
      <c r="G27" s="14">
        <f t="shared" si="2"/>
        <v>0.10844059275375947</v>
      </c>
      <c r="H27" s="4">
        <v>234645434</v>
      </c>
      <c r="I27" s="14">
        <f t="shared" si="3"/>
        <v>0.11970335823606147</v>
      </c>
      <c r="J27" s="4">
        <v>240658591</v>
      </c>
      <c r="K27" s="14">
        <f t="shared" si="4"/>
        <v>0.1366696262369424</v>
      </c>
      <c r="L27" s="4"/>
      <c r="M27" s="14"/>
    </row>
    <row r="28" spans="1:13" x14ac:dyDescent="0.3">
      <c r="A28" t="s">
        <v>46</v>
      </c>
      <c r="B28" s="4">
        <v>1342061</v>
      </c>
      <c r="C28" s="14">
        <f t="shared" si="0"/>
        <v>5.3784259929074709E-4</v>
      </c>
      <c r="D28" s="4">
        <v>476309</v>
      </c>
      <c r="E28" s="14">
        <f t="shared" si="1"/>
        <v>1.8726265126134474E-4</v>
      </c>
      <c r="F28" s="4">
        <v>2219381</v>
      </c>
      <c r="G28" s="14">
        <f t="shared" si="2"/>
        <v>1.1067031755648462E-3</v>
      </c>
      <c r="H28" s="4">
        <v>1629025</v>
      </c>
      <c r="I28" s="14">
        <f t="shared" si="3"/>
        <v>8.3104009239105857E-4</v>
      </c>
      <c r="J28" s="4">
        <v>2188695</v>
      </c>
      <c r="K28" s="14">
        <f t="shared" si="4"/>
        <v>1.2429563655039625E-3</v>
      </c>
      <c r="L28" s="4"/>
      <c r="M28" s="14"/>
    </row>
    <row r="29" spans="1:13" x14ac:dyDescent="0.3">
      <c r="A29" t="s">
        <v>47</v>
      </c>
      <c r="B29" s="4">
        <v>1739657</v>
      </c>
      <c r="C29" s="14">
        <f t="shared" si="0"/>
        <v>6.9718264874274948E-4</v>
      </c>
      <c r="D29" s="4">
        <v>2292664</v>
      </c>
      <c r="E29" s="14">
        <f t="shared" si="1"/>
        <v>9.0136936125800621E-4</v>
      </c>
      <c r="F29" s="4">
        <v>3584202</v>
      </c>
      <c r="G29" s="14">
        <f t="shared" si="2"/>
        <v>1.7872766033708827E-3</v>
      </c>
      <c r="H29" s="4">
        <v>5730154</v>
      </c>
      <c r="I29" s="14">
        <f t="shared" si="3"/>
        <v>2.9232134003928695E-3</v>
      </c>
      <c r="J29" s="4">
        <v>7587964</v>
      </c>
      <c r="K29" s="14">
        <f t="shared" si="4"/>
        <v>4.3091925348277896E-3</v>
      </c>
      <c r="L29" s="4"/>
      <c r="M29" s="14"/>
    </row>
    <row r="30" spans="1:13" x14ac:dyDescent="0.3">
      <c r="A30" t="s">
        <v>48</v>
      </c>
      <c r="B30" s="4">
        <v>14924500</v>
      </c>
      <c r="C30" s="14">
        <f t="shared" si="0"/>
        <v>5.9811229691606824E-3</v>
      </c>
      <c r="D30" s="4">
        <v>14924500</v>
      </c>
      <c r="E30" s="14">
        <f t="shared" si="1"/>
        <v>5.8676225701171708E-3</v>
      </c>
      <c r="F30" s="4">
        <v>14924500</v>
      </c>
      <c r="G30" s="14">
        <f t="shared" si="2"/>
        <v>7.4421613700926285E-3</v>
      </c>
      <c r="H30" s="4">
        <v>14924500</v>
      </c>
      <c r="I30" s="14">
        <f t="shared" si="3"/>
        <v>7.6136694396282158E-3</v>
      </c>
      <c r="J30" s="4">
        <v>14924500</v>
      </c>
      <c r="K30" s="14">
        <f t="shared" si="4"/>
        <v>8.4755995133921763E-3</v>
      </c>
      <c r="L30" s="4"/>
      <c r="M30" s="14"/>
    </row>
    <row r="31" spans="1:13" x14ac:dyDescent="0.3">
      <c r="A31" t="s">
        <v>49</v>
      </c>
      <c r="B31" s="18" t="s">
        <v>24</v>
      </c>
      <c r="C31" s="17" t="s">
        <v>24</v>
      </c>
      <c r="D31" s="18" t="s">
        <v>24</v>
      </c>
      <c r="E31" s="17" t="s">
        <v>24</v>
      </c>
      <c r="F31" s="4">
        <v>52811477</v>
      </c>
      <c r="G31" s="14">
        <f t="shared" si="2"/>
        <v>2.6334653357026054E-2</v>
      </c>
      <c r="H31" s="4">
        <v>47729073</v>
      </c>
      <c r="I31" s="14">
        <f t="shared" si="3"/>
        <v>2.4348781163984333E-2</v>
      </c>
      <c r="J31" s="4">
        <v>39583946</v>
      </c>
      <c r="K31" s="14">
        <f t="shared" si="4"/>
        <v>2.2479659181596848E-2</v>
      </c>
      <c r="L31" s="4"/>
      <c r="M31" s="14"/>
    </row>
    <row r="32" spans="1:13" x14ac:dyDescent="0.3">
      <c r="A32" t="s">
        <v>50</v>
      </c>
      <c r="B32" s="4">
        <v>9208586</v>
      </c>
      <c r="C32" s="14">
        <f t="shared" si="0"/>
        <v>3.6904208005689634E-3</v>
      </c>
      <c r="D32" s="18" t="s">
        <v>24</v>
      </c>
      <c r="E32" s="17" t="s">
        <v>24</v>
      </c>
      <c r="F32" s="18" t="s">
        <v>24</v>
      </c>
      <c r="G32" s="17" t="s">
        <v>24</v>
      </c>
      <c r="H32" s="18" t="s">
        <v>24</v>
      </c>
      <c r="I32" s="17" t="s">
        <v>24</v>
      </c>
      <c r="J32" s="18" t="s">
        <v>24</v>
      </c>
      <c r="K32" s="17" t="s">
        <v>24</v>
      </c>
      <c r="L32" s="18"/>
      <c r="M32" s="17"/>
    </row>
    <row r="33" spans="1:13" ht="15.6" x14ac:dyDescent="0.3">
      <c r="A33" s="2" t="s">
        <v>51</v>
      </c>
      <c r="B33" s="3">
        <v>844955673</v>
      </c>
      <c r="C33" s="14">
        <f t="shared" si="0"/>
        <v>0.3386233229724897</v>
      </c>
      <c r="D33" s="3">
        <v>857713878</v>
      </c>
      <c r="E33" s="14">
        <f t="shared" si="1"/>
        <v>0.33721339470371037</v>
      </c>
      <c r="F33" s="3">
        <v>1295017974</v>
      </c>
      <c r="G33" s="14">
        <f t="shared" si="2"/>
        <v>0.64576587086189952</v>
      </c>
      <c r="H33" s="3">
        <v>1236176825</v>
      </c>
      <c r="I33" s="14">
        <f t="shared" si="3"/>
        <v>0.6306302867418766</v>
      </c>
      <c r="J33" s="3">
        <v>1030583696</v>
      </c>
      <c r="K33" s="14">
        <f t="shared" si="4"/>
        <v>0.58526682115498074</v>
      </c>
      <c r="L33" s="3"/>
      <c r="M33" s="14"/>
    </row>
    <row r="34" spans="1:13" ht="15.6" x14ac:dyDescent="0.3">
      <c r="A34" s="2" t="s">
        <v>52</v>
      </c>
      <c r="B34" s="3">
        <v>495267208</v>
      </c>
      <c r="C34" s="14">
        <f t="shared" si="0"/>
        <v>0.19848263416803788</v>
      </c>
      <c r="D34" s="3">
        <v>3543534495</v>
      </c>
      <c r="E34" s="14">
        <f t="shared" si="1"/>
        <v>1.393153739210744</v>
      </c>
      <c r="F34" s="3">
        <v>2005398601</v>
      </c>
      <c r="G34" s="14">
        <f t="shared" si="2"/>
        <v>1</v>
      </c>
      <c r="H34" s="3">
        <v>1960224320</v>
      </c>
      <c r="I34" s="14">
        <f t="shared" si="3"/>
        <v>1</v>
      </c>
      <c r="J34" s="3">
        <v>1760878385</v>
      </c>
      <c r="K34" s="14">
        <f t="shared" si="4"/>
        <v>0.99999999886420321</v>
      </c>
      <c r="L34" s="3"/>
      <c r="M34" s="14"/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05D46-23FC-417F-AEDA-C237CA77393F}">
  <dimension ref="A1:M34"/>
  <sheetViews>
    <sheetView zoomScale="80" zoomScaleNormal="80" workbookViewId="0">
      <selection sqref="A1:L1"/>
    </sheetView>
  </sheetViews>
  <sheetFormatPr defaultColWidth="12.44140625" defaultRowHeight="14.4" x14ac:dyDescent="0.3"/>
  <cols>
    <col min="1" max="1" width="47.77734375" customWidth="1"/>
    <col min="2" max="2" width="18.33203125" customWidth="1"/>
    <col min="3" max="3" width="18.6640625" customWidth="1"/>
    <col min="4" max="4" width="20.21875" customWidth="1"/>
    <col min="5" max="5" width="19" customWidth="1"/>
    <col min="6" max="6" width="18.6640625" customWidth="1"/>
    <col min="7" max="7" width="20.77734375" customWidth="1"/>
    <col min="8" max="8" width="21" customWidth="1"/>
    <col min="9" max="9" width="20.109375" customWidth="1"/>
    <col min="10" max="11" width="23.5546875" customWidth="1"/>
    <col min="12" max="12" width="24.44140625" customWidth="1"/>
    <col min="13" max="13" width="20.109375" customWidth="1"/>
  </cols>
  <sheetData>
    <row r="1" spans="1:13" ht="21" x14ac:dyDescent="0.4">
      <c r="A1" s="20" t="s">
        <v>70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3" ht="15.6" x14ac:dyDescent="0.3">
      <c r="A3" s="7" t="s">
        <v>1</v>
      </c>
      <c r="B3" s="1">
        <v>2022</v>
      </c>
      <c r="C3" s="1" t="s">
        <v>75</v>
      </c>
      <c r="D3" s="1">
        <v>2021</v>
      </c>
      <c r="E3" s="1" t="s">
        <v>75</v>
      </c>
      <c r="F3" s="1">
        <v>2020</v>
      </c>
      <c r="G3" s="1" t="s">
        <v>75</v>
      </c>
      <c r="H3" s="1">
        <v>2019</v>
      </c>
      <c r="I3" s="1" t="s">
        <v>75</v>
      </c>
      <c r="J3" s="1">
        <v>2018</v>
      </c>
      <c r="K3" s="1"/>
      <c r="L3" s="1"/>
      <c r="M3" s="2"/>
    </row>
    <row r="4" spans="1:13" x14ac:dyDescent="0.3">
      <c r="A4" t="s">
        <v>21</v>
      </c>
      <c r="B4" s="4">
        <v>1015509672</v>
      </c>
      <c r="C4" s="14">
        <f>(B4-D4)/D4</f>
        <v>-1.5222012993992201E-2</v>
      </c>
      <c r="D4" s="4">
        <v>1031206714</v>
      </c>
      <c r="E4" s="14">
        <f>(D4-F4)/F4</f>
        <v>1.2436100158528771</v>
      </c>
      <c r="F4" s="4">
        <v>459619411</v>
      </c>
      <c r="G4" s="14">
        <f>(F4-H4)/H4</f>
        <v>4.081407888603647E-2</v>
      </c>
      <c r="H4" s="4">
        <v>441596074</v>
      </c>
      <c r="I4" s="14">
        <f>(H4-J4)/J4</f>
        <v>-0.14242706309855799</v>
      </c>
      <c r="J4" s="4">
        <v>514937045</v>
      </c>
      <c r="K4" s="14"/>
      <c r="L4" s="4"/>
    </row>
    <row r="5" spans="1:13" s="8" customFormat="1" x14ac:dyDescent="0.3">
      <c r="A5" s="13" t="s">
        <v>22</v>
      </c>
      <c r="B5" s="8">
        <v>824901</v>
      </c>
      <c r="C5" s="14">
        <f t="shared" ref="C5:C34" si="0">(B5-D5)/D5</f>
        <v>-6.0344513348126613E-2</v>
      </c>
      <c r="D5" s="8">
        <v>877876</v>
      </c>
      <c r="E5" s="14">
        <f t="shared" ref="E5:E34" si="1">(D5-F5)/F5</f>
        <v>0.22449674165327621</v>
      </c>
      <c r="F5" s="9">
        <v>716928</v>
      </c>
      <c r="G5" s="14">
        <f t="shared" ref="G5:G34" si="2">(F5-H5)/H5</f>
        <v>0</v>
      </c>
      <c r="H5" s="9">
        <v>716928</v>
      </c>
      <c r="I5" s="14">
        <f t="shared" ref="I5:I34" si="3">(H5-J5)/J5</f>
        <v>0</v>
      </c>
      <c r="J5" s="9">
        <v>716928</v>
      </c>
      <c r="K5" s="17"/>
    </row>
    <row r="6" spans="1:13" ht="15.6" x14ac:dyDescent="0.3">
      <c r="A6" t="s">
        <v>23</v>
      </c>
      <c r="B6" s="18" t="s">
        <v>24</v>
      </c>
      <c r="C6" s="17" t="s">
        <v>24</v>
      </c>
      <c r="D6" s="18" t="s">
        <v>24</v>
      </c>
      <c r="E6" s="17" t="s">
        <v>24</v>
      </c>
      <c r="F6" s="18" t="s">
        <v>24</v>
      </c>
      <c r="G6" s="17" t="s">
        <v>24</v>
      </c>
      <c r="H6" s="18" t="s">
        <v>24</v>
      </c>
      <c r="I6" s="17" t="s">
        <v>24</v>
      </c>
      <c r="J6" s="5">
        <v>-160511475</v>
      </c>
      <c r="K6" s="14"/>
      <c r="L6" s="5"/>
    </row>
    <row r="7" spans="1:13" s="8" customFormat="1" ht="15.6" x14ac:dyDescent="0.3">
      <c r="A7" s="7" t="s">
        <v>25</v>
      </c>
      <c r="B7" s="11">
        <v>1016334574</v>
      </c>
      <c r="C7" s="14">
        <f t="shared" si="0"/>
        <v>-1.5260393515554386E-2</v>
      </c>
      <c r="D7" s="11">
        <v>1032084591</v>
      </c>
      <c r="E7" s="14">
        <f t="shared" si="1"/>
        <v>1.2420228506009821</v>
      </c>
      <c r="F7" s="11">
        <v>460336339</v>
      </c>
      <c r="G7" s="14">
        <f t="shared" si="2"/>
        <v>4.0747924927605907E-2</v>
      </c>
      <c r="H7" s="11">
        <v>442313002</v>
      </c>
      <c r="I7" s="14">
        <f t="shared" si="3"/>
        <v>0.24545219029235976</v>
      </c>
      <c r="J7" s="11">
        <v>355142498</v>
      </c>
      <c r="K7" s="14"/>
      <c r="L7" s="11"/>
    </row>
    <row r="8" spans="1:13" x14ac:dyDescent="0.3">
      <c r="A8" t="s">
        <v>26</v>
      </c>
      <c r="B8" s="4">
        <v>401412927</v>
      </c>
      <c r="C8" s="14">
        <f t="shared" si="0"/>
        <v>0.40869890515930518</v>
      </c>
      <c r="D8" s="4">
        <v>284952963</v>
      </c>
      <c r="E8" s="14">
        <f t="shared" si="1"/>
        <v>1.0017711935870345E-2</v>
      </c>
      <c r="F8" s="4">
        <v>282126699</v>
      </c>
      <c r="G8" s="14">
        <f t="shared" si="2"/>
        <v>0.2795370952248743</v>
      </c>
      <c r="H8" s="4">
        <v>220491223</v>
      </c>
      <c r="I8" s="14">
        <f t="shared" si="3"/>
        <v>0.53628114849537079</v>
      </c>
      <c r="J8" s="4">
        <v>143522703</v>
      </c>
      <c r="K8" s="14"/>
      <c r="L8" s="4"/>
    </row>
    <row r="9" spans="1:13" x14ac:dyDescent="0.3">
      <c r="A9" t="s">
        <v>27</v>
      </c>
      <c r="B9" s="4">
        <v>298283337</v>
      </c>
      <c r="C9" s="14">
        <f t="shared" si="0"/>
        <v>2.9469178110795129E-2</v>
      </c>
      <c r="D9" s="4">
        <v>289744796</v>
      </c>
      <c r="E9" s="14">
        <f t="shared" si="1"/>
        <v>0.10396791101039644</v>
      </c>
      <c r="F9" s="4">
        <v>262457625</v>
      </c>
      <c r="G9" s="14">
        <f t="shared" si="2"/>
        <v>-1.8132616490083318E-2</v>
      </c>
      <c r="H9" s="4">
        <v>267304556</v>
      </c>
      <c r="I9" s="14">
        <f t="shared" si="3"/>
        <v>-0.10994498984403941</v>
      </c>
      <c r="J9" s="4">
        <v>300323635</v>
      </c>
      <c r="K9" s="14"/>
      <c r="L9" s="4"/>
    </row>
    <row r="10" spans="1:13" x14ac:dyDescent="0.3">
      <c r="A10" t="s">
        <v>28</v>
      </c>
      <c r="B10" s="4">
        <v>188710823</v>
      </c>
      <c r="C10" s="14">
        <f t="shared" si="0"/>
        <v>2.2185945795553598E-3</v>
      </c>
      <c r="D10" s="4">
        <v>188293077</v>
      </c>
      <c r="E10" s="14">
        <f t="shared" si="1"/>
        <v>-0.38436469470796225</v>
      </c>
      <c r="F10" s="4">
        <v>305851655</v>
      </c>
      <c r="G10" s="14">
        <f t="shared" si="2"/>
        <v>-0.31474065905160092</v>
      </c>
      <c r="H10" s="4">
        <v>446329786</v>
      </c>
      <c r="I10" s="14">
        <f t="shared" si="3"/>
        <v>0.19385980060544367</v>
      </c>
      <c r="J10" s="4">
        <v>373854439</v>
      </c>
      <c r="K10" s="14"/>
      <c r="L10" s="4"/>
    </row>
    <row r="11" spans="1:13" x14ac:dyDescent="0.3">
      <c r="A11" t="s">
        <v>29</v>
      </c>
      <c r="B11" s="18" t="s">
        <v>24</v>
      </c>
      <c r="C11" s="17" t="s">
        <v>24</v>
      </c>
      <c r="D11" s="4">
        <v>171378178</v>
      </c>
      <c r="E11" s="14">
        <f t="shared" si="1"/>
        <v>-0.21941884828467451</v>
      </c>
      <c r="F11" s="4">
        <v>219552032</v>
      </c>
      <c r="G11" s="14">
        <f t="shared" si="2"/>
        <v>0.38436234231309896</v>
      </c>
      <c r="H11" s="4">
        <v>158594340</v>
      </c>
      <c r="I11" s="14">
        <f t="shared" si="3"/>
        <v>-0.11393589786867384</v>
      </c>
      <c r="J11" s="4">
        <v>178987434</v>
      </c>
      <c r="K11" s="14"/>
      <c r="L11" s="4"/>
    </row>
    <row r="12" spans="1:13" x14ac:dyDescent="0.3">
      <c r="A12" t="s">
        <v>30</v>
      </c>
      <c r="B12" s="4">
        <v>215347109</v>
      </c>
      <c r="C12" s="14">
        <f t="shared" si="0"/>
        <v>-3.8933065263390437E-2</v>
      </c>
      <c r="D12" s="4">
        <v>224070875</v>
      </c>
      <c r="E12" s="14">
        <f t="shared" si="1"/>
        <v>0.35543802127025831</v>
      </c>
      <c r="F12" s="4">
        <v>165312520</v>
      </c>
      <c r="G12" s="14">
        <f t="shared" si="2"/>
        <v>0.16583602028310773</v>
      </c>
      <c r="H12" s="4">
        <v>141797403</v>
      </c>
      <c r="I12" s="14">
        <f t="shared" si="3"/>
        <v>-0.16537006965196738</v>
      </c>
      <c r="J12" s="4">
        <v>169892545</v>
      </c>
      <c r="K12" s="14"/>
      <c r="L12" s="4"/>
    </row>
    <row r="13" spans="1:13" x14ac:dyDescent="0.3">
      <c r="A13" t="s">
        <v>31</v>
      </c>
      <c r="B13" s="4">
        <v>361213480</v>
      </c>
      <c r="C13" s="14">
        <f t="shared" si="0"/>
        <v>0.10785611290794148</v>
      </c>
      <c r="D13" s="4">
        <v>326047287</v>
      </c>
      <c r="E13" s="14">
        <f t="shared" si="1"/>
        <v>0.11992813371156684</v>
      </c>
      <c r="F13" s="4">
        <v>291132330</v>
      </c>
      <c r="G13" s="14">
        <f t="shared" si="2"/>
        <v>0.14105074941424858</v>
      </c>
      <c r="H13" s="4">
        <v>255144068</v>
      </c>
      <c r="I13" s="14">
        <f t="shared" si="3"/>
        <v>0.14255001714626142</v>
      </c>
      <c r="J13" s="4">
        <v>223311071</v>
      </c>
      <c r="K13" s="14"/>
      <c r="L13" s="9"/>
    </row>
    <row r="14" spans="1:13" x14ac:dyDescent="0.3">
      <c r="A14" t="s">
        <v>32</v>
      </c>
      <c r="B14" s="4">
        <v>13964956</v>
      </c>
      <c r="C14" s="14">
        <f t="shared" si="0"/>
        <v>-0.48206308146622634</v>
      </c>
      <c r="D14" s="4">
        <v>26962658</v>
      </c>
      <c r="E14" s="14">
        <f t="shared" si="1"/>
        <v>0.44731757329812016</v>
      </c>
      <c r="F14" s="4">
        <v>18629400</v>
      </c>
      <c r="G14" s="14">
        <f t="shared" si="2"/>
        <v>-0.34055083513271761</v>
      </c>
      <c r="H14" s="4">
        <v>28249941</v>
      </c>
      <c r="I14" s="14">
        <f t="shared" si="3"/>
        <v>0.7829986401214537</v>
      </c>
      <c r="J14" s="4">
        <v>15844062</v>
      </c>
      <c r="K14" s="14"/>
      <c r="L14" s="4"/>
    </row>
    <row r="15" spans="1:13" ht="15.6" x14ac:dyDescent="0.3">
      <c r="A15" s="2" t="s">
        <v>33</v>
      </c>
      <c r="B15" s="3">
        <v>1478932632</v>
      </c>
      <c r="C15" s="14">
        <f t="shared" si="0"/>
        <v>-2.1513914169380231E-2</v>
      </c>
      <c r="D15" s="3">
        <v>1511449834</v>
      </c>
      <c r="E15" s="14">
        <f t="shared" si="1"/>
        <v>-2.1754740133572689E-2</v>
      </c>
      <c r="F15" s="3">
        <v>1545062262</v>
      </c>
      <c r="G15" s="14">
        <f t="shared" si="2"/>
        <v>1.7887042331151522E-2</v>
      </c>
      <c r="H15" s="3">
        <v>1517911318</v>
      </c>
      <c r="I15" s="14">
        <f t="shared" si="3"/>
        <v>7.9798367444256099E-2</v>
      </c>
      <c r="J15" s="3">
        <v>1405735889</v>
      </c>
      <c r="K15" s="14"/>
      <c r="L15" s="3"/>
    </row>
    <row r="16" spans="1:13" ht="15.6" x14ac:dyDescent="0.3">
      <c r="A16" s="2" t="s">
        <v>34</v>
      </c>
      <c r="B16" s="3">
        <v>2495267206</v>
      </c>
      <c r="C16" s="14">
        <f t="shared" si="0"/>
        <v>-1.8976436302803334E-2</v>
      </c>
      <c r="D16" s="3">
        <v>2543534425</v>
      </c>
      <c r="E16" s="14">
        <f t="shared" si="1"/>
        <v>0.2683435720617619</v>
      </c>
      <c r="F16" s="3">
        <v>2005398601</v>
      </c>
      <c r="G16" s="14">
        <f t="shared" si="2"/>
        <v>2.304546502106453E-2</v>
      </c>
      <c r="H16" s="3">
        <v>1960224320</v>
      </c>
      <c r="I16" s="14">
        <f t="shared" si="3"/>
        <v>0.11320823429471737</v>
      </c>
      <c r="J16" s="3">
        <v>1760878387</v>
      </c>
      <c r="K16" s="14"/>
      <c r="L16" s="3"/>
    </row>
    <row r="17" spans="1:12" x14ac:dyDescent="0.3">
      <c r="A17" t="s">
        <v>35</v>
      </c>
      <c r="B17" s="4">
        <v>613651500</v>
      </c>
      <c r="C17" s="14">
        <f t="shared" si="0"/>
        <v>0</v>
      </c>
      <c r="D17" s="4">
        <v>613651500</v>
      </c>
      <c r="E17" s="14">
        <f t="shared" si="1"/>
        <v>0</v>
      </c>
      <c r="F17" s="4">
        <v>613651500</v>
      </c>
      <c r="G17" s="14">
        <f t="shared" si="2"/>
        <v>0</v>
      </c>
      <c r="H17" s="4">
        <v>613651500</v>
      </c>
      <c r="I17" s="14">
        <f t="shared" si="3"/>
        <v>0</v>
      </c>
      <c r="J17" s="4">
        <v>613651500</v>
      </c>
      <c r="K17" s="14"/>
      <c r="L17" s="4"/>
    </row>
    <row r="18" spans="1:12" x14ac:dyDescent="0.3">
      <c r="A18" t="s">
        <v>36</v>
      </c>
      <c r="B18" s="4">
        <v>467003358</v>
      </c>
      <c r="C18" s="14">
        <f t="shared" si="0"/>
        <v>-1.3725378351178937E-2</v>
      </c>
      <c r="D18" s="4">
        <v>473502357</v>
      </c>
      <c r="E18" s="17" t="s">
        <v>24</v>
      </c>
      <c r="F18" s="18" t="s">
        <v>24</v>
      </c>
      <c r="G18" s="17" t="s">
        <v>24</v>
      </c>
      <c r="H18" s="18" t="s">
        <v>24</v>
      </c>
      <c r="I18" s="17" t="s">
        <v>24</v>
      </c>
      <c r="J18" s="18" t="s">
        <v>24</v>
      </c>
      <c r="K18" s="17"/>
      <c r="L18" s="18"/>
    </row>
    <row r="19" spans="1:12" x14ac:dyDescent="0.3">
      <c r="A19" t="s">
        <v>37</v>
      </c>
      <c r="B19" s="4">
        <v>36712385</v>
      </c>
      <c r="C19" s="14">
        <f t="shared" si="0"/>
        <v>0.70995404337104462</v>
      </c>
      <c r="D19" s="4">
        <v>21469808</v>
      </c>
      <c r="E19" s="14">
        <f t="shared" si="1"/>
        <v>-0.27801519457008766</v>
      </c>
      <c r="F19" s="4">
        <v>29737202</v>
      </c>
      <c r="G19" s="14">
        <f t="shared" si="2"/>
        <v>-0.32270771131332587</v>
      </c>
      <c r="H19" s="9">
        <v>43906010</v>
      </c>
      <c r="I19" s="14">
        <f t="shared" si="3"/>
        <v>-4.2305730116947694E-2</v>
      </c>
      <c r="J19" s="4">
        <v>45845539</v>
      </c>
      <c r="K19" s="14"/>
      <c r="L19" s="4"/>
    </row>
    <row r="20" spans="1:12" ht="15.6" x14ac:dyDescent="0.3">
      <c r="A20" s="2" t="s">
        <v>38</v>
      </c>
      <c r="B20" s="3">
        <v>1117367243</v>
      </c>
      <c r="C20" s="14">
        <f t="shared" si="0"/>
        <v>7.8868765623905379E-3</v>
      </c>
      <c r="D20" s="3">
        <v>1108623665</v>
      </c>
      <c r="E20" s="14">
        <f t="shared" si="1"/>
        <v>0.72310092103544588</v>
      </c>
      <c r="F20" s="3">
        <v>643388702</v>
      </c>
      <c r="G20" s="14">
        <f t="shared" si="2"/>
        <v>-2.1547633149228272E-2</v>
      </c>
      <c r="H20" s="3">
        <v>657557510</v>
      </c>
      <c r="I20" s="14">
        <f t="shared" si="3"/>
        <v>-2.9409214678824359E-3</v>
      </c>
      <c r="J20" s="3">
        <v>659497039</v>
      </c>
      <c r="K20" s="14"/>
      <c r="L20" s="3"/>
    </row>
    <row r="21" spans="1:12" ht="15.6" x14ac:dyDescent="0.3">
      <c r="A21" s="2" t="s">
        <v>39</v>
      </c>
      <c r="B21" s="3">
        <v>1117367243</v>
      </c>
      <c r="C21" s="14">
        <f t="shared" si="0"/>
        <v>7.8868765623905379E-3</v>
      </c>
      <c r="D21" s="3">
        <v>1108623665</v>
      </c>
      <c r="E21" s="14">
        <f t="shared" si="1"/>
        <v>0.72310092103544588</v>
      </c>
      <c r="F21" s="3">
        <v>643388702</v>
      </c>
      <c r="G21" s="14">
        <f t="shared" si="2"/>
        <v>-2.1547633149228272E-2</v>
      </c>
      <c r="H21" s="3">
        <v>657557510</v>
      </c>
      <c r="I21" s="14">
        <f t="shared" si="3"/>
        <v>-2.9409214678824359E-3</v>
      </c>
      <c r="J21" s="3">
        <v>659497039</v>
      </c>
      <c r="K21" s="14"/>
      <c r="L21" s="3"/>
    </row>
    <row r="22" spans="1:12" x14ac:dyDescent="0.3">
      <c r="A22" t="s">
        <v>40</v>
      </c>
      <c r="B22" s="4">
        <v>375172771</v>
      </c>
      <c r="C22" s="14">
        <f t="shared" si="0"/>
        <v>-8.6859334767980134E-2</v>
      </c>
      <c r="D22" s="4">
        <v>410859778</v>
      </c>
      <c r="E22" s="17" t="s">
        <v>24</v>
      </c>
      <c r="F22" s="18" t="s">
        <v>24</v>
      </c>
      <c r="G22" s="17" t="s">
        <v>24</v>
      </c>
      <c r="H22" s="18" t="s">
        <v>24</v>
      </c>
      <c r="I22" s="17" t="s">
        <v>24</v>
      </c>
      <c r="J22" s="18" t="s">
        <v>24</v>
      </c>
      <c r="K22" s="17"/>
      <c r="L22" s="18"/>
    </row>
    <row r="23" spans="1:12" x14ac:dyDescent="0.3">
      <c r="A23" t="s">
        <v>41</v>
      </c>
      <c r="B23" s="4">
        <v>157771520</v>
      </c>
      <c r="C23" s="14">
        <f t="shared" si="0"/>
        <v>-5.1495323926616661E-2</v>
      </c>
      <c r="D23" s="4">
        <v>166337103</v>
      </c>
      <c r="E23" s="14">
        <f t="shared" si="1"/>
        <v>1.4829165232926822</v>
      </c>
      <c r="F23" s="4">
        <v>66992628</v>
      </c>
      <c r="G23" s="14">
        <f t="shared" si="2"/>
        <v>7.5596798525371907E-3</v>
      </c>
      <c r="H23" s="4">
        <v>66489985</v>
      </c>
      <c r="I23" s="14">
        <f t="shared" si="3"/>
        <v>-6.0844745552995051E-2</v>
      </c>
      <c r="J23" s="4">
        <v>70797650</v>
      </c>
      <c r="K23" s="14"/>
      <c r="L23" s="4"/>
    </row>
    <row r="24" spans="1:12" ht="15.6" x14ac:dyDescent="0.3">
      <c r="A24" s="2" t="s">
        <v>42</v>
      </c>
      <c r="B24" s="3">
        <v>532944291</v>
      </c>
      <c r="C24" s="14">
        <f t="shared" si="0"/>
        <v>-7.6668103132040311E-2</v>
      </c>
      <c r="D24" s="3">
        <v>577196881</v>
      </c>
      <c r="E24" s="14">
        <f t="shared" si="1"/>
        <v>7.6158268190344769</v>
      </c>
      <c r="F24" s="3">
        <v>66992628</v>
      </c>
      <c r="G24" s="14">
        <f t="shared" si="2"/>
        <v>7.5596798525371907E-3</v>
      </c>
      <c r="H24" s="3">
        <v>66489985</v>
      </c>
      <c r="I24" s="14">
        <f t="shared" si="3"/>
        <v>-6.0844745552995051E-2</v>
      </c>
      <c r="J24" s="3">
        <v>70797650</v>
      </c>
      <c r="K24" s="14"/>
      <c r="L24" s="3"/>
    </row>
    <row r="25" spans="1:12" x14ac:dyDescent="0.3">
      <c r="A25" t="s">
        <v>43</v>
      </c>
      <c r="B25" s="4">
        <v>552345251</v>
      </c>
      <c r="C25" s="14">
        <f t="shared" si="0"/>
        <v>2.9813142653392875E-2</v>
      </c>
      <c r="D25" s="4">
        <v>536354828</v>
      </c>
      <c r="E25" s="14">
        <f t="shared" si="1"/>
        <v>-0.46084662090433087</v>
      </c>
      <c r="F25" s="4">
        <v>994809360</v>
      </c>
      <c r="G25" s="14">
        <f t="shared" si="2"/>
        <v>8.4661644918763837E-2</v>
      </c>
      <c r="H25" s="4">
        <v>917161001</v>
      </c>
      <c r="I25" s="14">
        <f t="shared" si="3"/>
        <v>0.27809406794960828</v>
      </c>
      <c r="J25" s="4">
        <v>717600546</v>
      </c>
      <c r="K25" s="14"/>
      <c r="L25" s="4"/>
    </row>
    <row r="26" spans="1:12" x14ac:dyDescent="0.3">
      <c r="A26" t="s">
        <v>44</v>
      </c>
      <c r="B26" s="4">
        <v>50423520</v>
      </c>
      <c r="C26" s="14">
        <f t="shared" si="0"/>
        <v>-0.26468730866999574</v>
      </c>
      <c r="D26" s="4">
        <v>68574255</v>
      </c>
      <c r="E26" s="14">
        <f t="shared" si="1"/>
        <v>6.4523155299574926</v>
      </c>
      <c r="F26" s="4">
        <v>9201738</v>
      </c>
      <c r="G26" s="14">
        <f t="shared" si="2"/>
        <v>-0.35906931595940556</v>
      </c>
      <c r="H26" s="4">
        <v>14356838</v>
      </c>
      <c r="I26" s="14">
        <f t="shared" si="3"/>
        <v>0.78579764247671546</v>
      </c>
      <c r="J26" s="4">
        <v>8039454</v>
      </c>
      <c r="K26" s="14"/>
      <c r="L26" s="4"/>
    </row>
    <row r="27" spans="1:12" x14ac:dyDescent="0.3">
      <c r="A27" t="s">
        <v>45</v>
      </c>
      <c r="B27" s="4">
        <v>214972098</v>
      </c>
      <c r="C27" s="14">
        <f t="shared" si="0"/>
        <v>-8.5580462217146408E-2</v>
      </c>
      <c r="D27" s="4">
        <v>235091322</v>
      </c>
      <c r="E27" s="14">
        <f t="shared" si="1"/>
        <v>8.1045585604444026E-2</v>
      </c>
      <c r="F27" s="4">
        <v>217466613</v>
      </c>
      <c r="G27" s="14">
        <f t="shared" si="2"/>
        <v>-7.3211827339457206E-2</v>
      </c>
      <c r="H27" s="4">
        <v>234645434</v>
      </c>
      <c r="I27" s="14">
        <f t="shared" si="3"/>
        <v>-2.4986255321340262E-2</v>
      </c>
      <c r="J27" s="4">
        <v>240658591</v>
      </c>
      <c r="K27" s="14"/>
      <c r="L27" s="4"/>
    </row>
    <row r="28" spans="1:12" x14ac:dyDescent="0.3">
      <c r="A28" t="s">
        <v>46</v>
      </c>
      <c r="B28" s="4">
        <v>1342061</v>
      </c>
      <c r="C28" s="14">
        <f t="shared" si="0"/>
        <v>1.8176267926912992</v>
      </c>
      <c r="D28" s="4">
        <v>476309</v>
      </c>
      <c r="E28" s="14">
        <f t="shared" si="1"/>
        <v>-0.7853865559811497</v>
      </c>
      <c r="F28" s="4">
        <v>2219381</v>
      </c>
      <c r="G28" s="14">
        <f t="shared" si="2"/>
        <v>0.36239836712143769</v>
      </c>
      <c r="H28" s="4">
        <v>1629025</v>
      </c>
      <c r="I28" s="14">
        <f t="shared" si="3"/>
        <v>-0.25570945243626908</v>
      </c>
      <c r="J28" s="4">
        <v>2188695</v>
      </c>
      <c r="K28" s="14"/>
      <c r="L28" s="4"/>
    </row>
    <row r="29" spans="1:12" x14ac:dyDescent="0.3">
      <c r="A29" t="s">
        <v>47</v>
      </c>
      <c r="B29" s="4">
        <v>1739657</v>
      </c>
      <c r="C29" s="14">
        <f t="shared" si="0"/>
        <v>-0.24120717209325046</v>
      </c>
      <c r="D29" s="4">
        <v>2292664</v>
      </c>
      <c r="E29" s="14">
        <f t="shared" si="1"/>
        <v>-0.36034185573246152</v>
      </c>
      <c r="F29" s="4">
        <v>3584202</v>
      </c>
      <c r="G29" s="14">
        <f t="shared" si="2"/>
        <v>-0.37450162770494477</v>
      </c>
      <c r="H29" s="4">
        <v>5730154</v>
      </c>
      <c r="I29" s="14">
        <f t="shared" si="3"/>
        <v>-0.24483642779538753</v>
      </c>
      <c r="J29" s="4">
        <v>7587964</v>
      </c>
      <c r="K29" s="14"/>
      <c r="L29" s="4"/>
    </row>
    <row r="30" spans="1:12" x14ac:dyDescent="0.3">
      <c r="A30" t="s">
        <v>48</v>
      </c>
      <c r="B30" s="4">
        <v>14924500</v>
      </c>
      <c r="C30" s="14">
        <f t="shared" si="0"/>
        <v>0</v>
      </c>
      <c r="D30" s="4">
        <v>14924500</v>
      </c>
      <c r="E30" s="14">
        <f t="shared" si="1"/>
        <v>0</v>
      </c>
      <c r="F30" s="4">
        <v>14924500</v>
      </c>
      <c r="G30" s="14">
        <f t="shared" si="2"/>
        <v>0</v>
      </c>
      <c r="H30" s="4">
        <v>14924500</v>
      </c>
      <c r="I30" s="14">
        <f t="shared" si="3"/>
        <v>0</v>
      </c>
      <c r="J30" s="4">
        <v>14924500</v>
      </c>
      <c r="K30" s="14"/>
      <c r="L30" s="4"/>
    </row>
    <row r="31" spans="1:12" x14ac:dyDescent="0.3">
      <c r="A31" t="s">
        <v>49</v>
      </c>
      <c r="B31" s="18" t="s">
        <v>24</v>
      </c>
      <c r="C31" s="17" t="s">
        <v>24</v>
      </c>
      <c r="D31" s="18" t="s">
        <v>24</v>
      </c>
      <c r="E31" s="17" t="s">
        <v>24</v>
      </c>
      <c r="F31" s="4">
        <v>52811477</v>
      </c>
      <c r="G31" s="14">
        <f t="shared" si="2"/>
        <v>0.10648444816851985</v>
      </c>
      <c r="H31" s="4">
        <v>47729073</v>
      </c>
      <c r="I31" s="14">
        <f t="shared" si="3"/>
        <v>0.20576844461135835</v>
      </c>
      <c r="J31" s="4">
        <v>39583946</v>
      </c>
      <c r="K31" s="14"/>
      <c r="L31" s="4"/>
    </row>
    <row r="32" spans="1:12" x14ac:dyDescent="0.3">
      <c r="A32" t="s">
        <v>50</v>
      </c>
      <c r="B32" s="4">
        <v>9208586</v>
      </c>
      <c r="C32" s="17" t="s">
        <v>24</v>
      </c>
      <c r="D32" s="18" t="s">
        <v>24</v>
      </c>
      <c r="E32" s="17" t="s">
        <v>24</v>
      </c>
      <c r="F32" s="18" t="s">
        <v>24</v>
      </c>
      <c r="G32" s="17" t="s">
        <v>24</v>
      </c>
      <c r="H32" s="18" t="s">
        <v>24</v>
      </c>
      <c r="I32" s="17" t="s">
        <v>24</v>
      </c>
      <c r="J32" s="18" t="s">
        <v>24</v>
      </c>
      <c r="K32" s="17"/>
      <c r="L32" s="18"/>
    </row>
    <row r="33" spans="1:12" ht="15.6" x14ac:dyDescent="0.3">
      <c r="A33" s="2" t="s">
        <v>51</v>
      </c>
      <c r="B33" s="3">
        <v>844955673</v>
      </c>
      <c r="C33" s="14">
        <f t="shared" si="0"/>
        <v>-1.4874663133292569E-2</v>
      </c>
      <c r="D33" s="3">
        <v>857713878</v>
      </c>
      <c r="E33" s="14">
        <f t="shared" si="1"/>
        <v>-0.3376818737498079</v>
      </c>
      <c r="F33" s="3">
        <v>1295017974</v>
      </c>
      <c r="G33" s="14">
        <f t="shared" si="2"/>
        <v>4.759929794024411E-2</v>
      </c>
      <c r="H33" s="3">
        <v>1236176825</v>
      </c>
      <c r="I33" s="14">
        <f t="shared" si="3"/>
        <v>0.19949192850417458</v>
      </c>
      <c r="J33" s="3">
        <v>1030583696</v>
      </c>
      <c r="K33" s="14"/>
      <c r="L33" s="3"/>
    </row>
    <row r="34" spans="1:12" ht="15.6" x14ac:dyDescent="0.3">
      <c r="A34" s="2" t="s">
        <v>52</v>
      </c>
      <c r="B34" s="3">
        <v>495267208</v>
      </c>
      <c r="C34" s="14">
        <f t="shared" si="0"/>
        <v>-0.8602335581327536</v>
      </c>
      <c r="D34" s="3">
        <v>3543534495</v>
      </c>
      <c r="E34" s="14">
        <f t="shared" si="1"/>
        <v>0.76699759002175549</v>
      </c>
      <c r="F34" s="3">
        <v>2005398601</v>
      </c>
      <c r="G34" s="14">
        <f t="shared" si="2"/>
        <v>2.304546502106453E-2</v>
      </c>
      <c r="H34" s="3">
        <v>1960224320</v>
      </c>
      <c r="I34" s="14">
        <f t="shared" si="3"/>
        <v>0.11320823555909569</v>
      </c>
      <c r="J34" s="3">
        <v>1760878385</v>
      </c>
      <c r="K34" s="14"/>
      <c r="L34" s="3"/>
    </row>
  </sheetData>
  <mergeCells count="1">
    <mergeCell ref="A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92DCD-4778-4A46-849E-CE709A3DFEB8}">
  <dimension ref="A1:H21"/>
  <sheetViews>
    <sheetView zoomScale="99" zoomScaleNormal="99" workbookViewId="0">
      <selection sqref="A1:H1"/>
    </sheetView>
  </sheetViews>
  <sheetFormatPr defaultColWidth="12.44140625" defaultRowHeight="14.4" x14ac:dyDescent="0.3"/>
  <cols>
    <col min="1" max="1" width="60" customWidth="1"/>
    <col min="3" max="3" width="24.5546875" customWidth="1"/>
    <col min="4" max="4" width="17.44140625" customWidth="1"/>
    <col min="5" max="5" width="29.6640625" customWidth="1"/>
    <col min="6" max="6" width="24" customWidth="1"/>
    <col min="7" max="7" width="22" customWidth="1"/>
    <col min="8" max="8" width="21.33203125" customWidth="1"/>
  </cols>
  <sheetData>
    <row r="1" spans="1:8" ht="21" x14ac:dyDescent="0.4">
      <c r="A1" s="20" t="s">
        <v>0</v>
      </c>
      <c r="B1" s="23"/>
      <c r="C1" s="23"/>
      <c r="D1" s="23"/>
      <c r="E1" s="23"/>
      <c r="F1" s="23"/>
      <c r="G1" s="23"/>
      <c r="H1" s="23"/>
    </row>
    <row r="4" spans="1:8" s="2" customFormat="1" ht="15.6" x14ac:dyDescent="0.3">
      <c r="A4" s="2" t="s">
        <v>1</v>
      </c>
      <c r="C4" s="2">
        <v>2022</v>
      </c>
      <c r="D4" s="2">
        <v>2021</v>
      </c>
      <c r="E4" s="2">
        <v>2020</v>
      </c>
      <c r="F4" s="2">
        <v>2019</v>
      </c>
      <c r="G4" s="2">
        <v>2018</v>
      </c>
    </row>
    <row r="5" spans="1:8" s="2" customFormat="1" ht="15.6" x14ac:dyDescent="0.3">
      <c r="A5" s="2" t="s">
        <v>2</v>
      </c>
      <c r="C5" s="3">
        <v>1046562186</v>
      </c>
      <c r="D5" s="3">
        <v>773807394</v>
      </c>
      <c r="E5" s="3">
        <v>824577244</v>
      </c>
      <c r="F5" s="3">
        <v>799252742</v>
      </c>
      <c r="G5" s="3">
        <v>945699450</v>
      </c>
      <c r="H5" s="3"/>
    </row>
    <row r="6" spans="1:8" x14ac:dyDescent="0.3">
      <c r="A6" t="s">
        <v>3</v>
      </c>
      <c r="C6" s="4">
        <v>918031857</v>
      </c>
      <c r="D6" s="4">
        <v>682505268</v>
      </c>
      <c r="E6" s="4">
        <v>729930375</v>
      </c>
      <c r="F6" s="4">
        <v>682695931</v>
      </c>
      <c r="G6" s="4">
        <v>818873316</v>
      </c>
      <c r="H6" s="4"/>
    </row>
    <row r="7" spans="1:8" s="2" customFormat="1" ht="15.6" x14ac:dyDescent="0.3">
      <c r="A7" s="2" t="s">
        <v>4</v>
      </c>
      <c r="C7" s="3">
        <v>128530329</v>
      </c>
      <c r="D7" s="3">
        <v>91302126</v>
      </c>
      <c r="E7" s="3">
        <v>94646869</v>
      </c>
      <c r="F7" s="3">
        <v>116556811</v>
      </c>
      <c r="G7" s="3">
        <v>126826134</v>
      </c>
      <c r="H7" s="3"/>
    </row>
    <row r="8" spans="1:8" x14ac:dyDescent="0.3">
      <c r="A8" t="s">
        <v>5</v>
      </c>
      <c r="C8" s="4">
        <v>21342104</v>
      </c>
      <c r="D8" s="4">
        <v>24165994</v>
      </c>
      <c r="E8" s="4">
        <v>24176366</v>
      </c>
      <c r="F8" s="4">
        <v>27941040</v>
      </c>
      <c r="G8" s="4">
        <v>34132822</v>
      </c>
      <c r="H8" s="4"/>
    </row>
    <row r="9" spans="1:8" x14ac:dyDescent="0.3">
      <c r="A9" t="s">
        <v>6</v>
      </c>
      <c r="C9" s="4">
        <v>5004255</v>
      </c>
      <c r="D9" s="4">
        <v>9261265</v>
      </c>
      <c r="E9" s="4">
        <v>8945103</v>
      </c>
      <c r="F9" s="4">
        <v>10219725</v>
      </c>
      <c r="G9" s="4">
        <v>13510565</v>
      </c>
      <c r="H9" s="4"/>
    </row>
    <row r="10" spans="1:8" x14ac:dyDescent="0.3">
      <c r="A10" t="s">
        <v>7</v>
      </c>
      <c r="C10" s="4">
        <v>16337849</v>
      </c>
      <c r="D10" s="4">
        <v>14904729</v>
      </c>
      <c r="E10" s="4">
        <v>15231263</v>
      </c>
      <c r="F10" s="4">
        <v>17721315</v>
      </c>
      <c r="G10" s="4">
        <v>20622257</v>
      </c>
      <c r="H10" s="4"/>
    </row>
    <row r="11" spans="1:8" s="2" customFormat="1" ht="15.6" x14ac:dyDescent="0.3">
      <c r="A11" s="2" t="s">
        <v>8</v>
      </c>
      <c r="C11" s="3">
        <v>107188224</v>
      </c>
      <c r="D11" s="3">
        <v>67136131</v>
      </c>
      <c r="E11" s="3">
        <v>70470503</v>
      </c>
      <c r="F11" s="3">
        <v>88615771</v>
      </c>
      <c r="G11" s="3">
        <v>92693312</v>
      </c>
      <c r="H11" s="3"/>
    </row>
    <row r="12" spans="1:8" x14ac:dyDescent="0.3">
      <c r="A12" t="s">
        <v>9</v>
      </c>
      <c r="C12" s="4">
        <v>5744046</v>
      </c>
      <c r="D12" s="4">
        <v>21908703</v>
      </c>
      <c r="E12" s="4">
        <v>22489886</v>
      </c>
      <c r="F12" s="4">
        <v>16236492</v>
      </c>
      <c r="G12" s="4">
        <v>11497138</v>
      </c>
      <c r="H12" s="4"/>
    </row>
    <row r="13" spans="1:8" x14ac:dyDescent="0.3">
      <c r="A13" t="s">
        <v>10</v>
      </c>
      <c r="C13" s="4">
        <v>84748996</v>
      </c>
      <c r="D13" s="4">
        <v>79042355</v>
      </c>
      <c r="E13" s="4">
        <v>80562913</v>
      </c>
      <c r="F13" s="4">
        <v>70642730</v>
      </c>
      <c r="G13" s="4">
        <v>58277847</v>
      </c>
      <c r="H13" s="4"/>
    </row>
    <row r="14" spans="1:8" s="2" customFormat="1" ht="15.6" x14ac:dyDescent="0.3">
      <c r="A14" s="2" t="s">
        <v>11</v>
      </c>
      <c r="C14" s="3">
        <v>28183274</v>
      </c>
      <c r="D14" s="3">
        <v>10002479</v>
      </c>
      <c r="E14" s="3">
        <v>12397476</v>
      </c>
      <c r="F14" s="3">
        <v>34209533</v>
      </c>
      <c r="G14" s="3">
        <v>45912603</v>
      </c>
      <c r="H14" s="3"/>
    </row>
    <row r="15" spans="1:8" x14ac:dyDescent="0.3">
      <c r="A15" t="s">
        <v>12</v>
      </c>
      <c r="C15" s="4">
        <v>1342061</v>
      </c>
      <c r="D15" s="4">
        <v>476309</v>
      </c>
      <c r="E15" s="4">
        <v>590357</v>
      </c>
      <c r="F15" s="4">
        <v>1629025</v>
      </c>
      <c r="G15" s="4">
        <v>2188695</v>
      </c>
      <c r="H15" s="4"/>
    </row>
    <row r="16" spans="1:8" s="2" customFormat="1" ht="15.6" x14ac:dyDescent="0.3">
      <c r="A16" s="2" t="s">
        <v>13</v>
      </c>
      <c r="C16" s="3">
        <v>26841213</v>
      </c>
      <c r="D16" s="3">
        <v>9526170</v>
      </c>
      <c r="E16" s="3">
        <v>11807118</v>
      </c>
      <c r="F16" s="3">
        <v>32580507</v>
      </c>
      <c r="G16" s="3">
        <v>43723908</v>
      </c>
      <c r="H16" s="3"/>
    </row>
    <row r="17" spans="1:8" ht="15.6" x14ac:dyDescent="0.3">
      <c r="A17" t="s">
        <v>14</v>
      </c>
      <c r="C17" s="4">
        <v>2251746</v>
      </c>
      <c r="D17" s="4">
        <v>2378114</v>
      </c>
      <c r="E17" s="4">
        <v>5585045</v>
      </c>
      <c r="F17" s="4">
        <v>3837462</v>
      </c>
      <c r="G17" s="5">
        <v>-9355054</v>
      </c>
      <c r="H17" s="5"/>
    </row>
    <row r="18" spans="1:8" ht="15.6" x14ac:dyDescent="0.3">
      <c r="A18" t="s">
        <v>15</v>
      </c>
      <c r="C18" s="5">
        <v>-6313837</v>
      </c>
      <c r="D18" s="5">
        <v>-4774297</v>
      </c>
      <c r="E18" s="4">
        <v>5082402</v>
      </c>
      <c r="F18" s="6" t="s">
        <v>16</v>
      </c>
      <c r="G18" s="5">
        <v>-10943477</v>
      </c>
      <c r="H18" s="5"/>
    </row>
    <row r="19" spans="1:8" x14ac:dyDescent="0.3">
      <c r="A19" t="s">
        <v>17</v>
      </c>
      <c r="C19" s="4">
        <v>8555582</v>
      </c>
      <c r="D19" s="4">
        <v>7152410</v>
      </c>
      <c r="E19" s="4">
        <v>502643</v>
      </c>
      <c r="F19" s="4">
        <v>4307665</v>
      </c>
      <c r="G19" s="4">
        <v>1588423</v>
      </c>
      <c r="H19" s="4"/>
    </row>
    <row r="20" spans="1:8" s="2" customFormat="1" ht="15.6" x14ac:dyDescent="0.3">
      <c r="A20" s="2" t="s">
        <v>18</v>
      </c>
      <c r="C20" s="3">
        <v>29092959</v>
      </c>
      <c r="D20" s="3">
        <v>11904284</v>
      </c>
      <c r="E20" s="3">
        <v>6222074</v>
      </c>
      <c r="F20" s="3">
        <v>28743046</v>
      </c>
      <c r="G20" s="3">
        <v>53078962</v>
      </c>
      <c r="H20" s="3"/>
    </row>
    <row r="21" spans="1:8" s="2" customFormat="1" ht="15.6" x14ac:dyDescent="0.3">
      <c r="A21" s="2" t="s">
        <v>19</v>
      </c>
      <c r="C21" s="2">
        <v>0.47</v>
      </c>
      <c r="D21" s="2">
        <v>0.2</v>
      </c>
      <c r="E21" s="2">
        <v>0.1</v>
      </c>
      <c r="G21" s="2">
        <v>0.56000000000000005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E7E30-76ED-4FD3-AB10-A9E92FB40C5B}">
  <dimension ref="A1:M21"/>
  <sheetViews>
    <sheetView zoomScale="90" zoomScaleNormal="90" workbookViewId="0">
      <selection sqref="A1:L1"/>
    </sheetView>
  </sheetViews>
  <sheetFormatPr defaultColWidth="12.44140625" defaultRowHeight="14.4" x14ac:dyDescent="0.3"/>
  <cols>
    <col min="1" max="1" width="60" customWidth="1"/>
    <col min="2" max="2" width="17.77734375" customWidth="1"/>
    <col min="3" max="3" width="15.77734375" customWidth="1"/>
    <col min="4" max="4" width="17.44140625" customWidth="1"/>
    <col min="5" max="5" width="16.21875" customWidth="1"/>
    <col min="6" max="6" width="18.21875" customWidth="1"/>
    <col min="7" max="7" width="16.21875" customWidth="1"/>
    <col min="8" max="8" width="17.5546875" customWidth="1"/>
    <col min="9" max="9" width="16.44140625" customWidth="1"/>
    <col min="10" max="10" width="15.44140625" customWidth="1"/>
    <col min="11" max="11" width="16.5546875" customWidth="1"/>
    <col min="12" max="12" width="21.33203125" customWidth="1"/>
    <col min="13" max="13" width="18.109375" customWidth="1"/>
  </cols>
  <sheetData>
    <row r="1" spans="1:13" ht="21" x14ac:dyDescent="0.4">
      <c r="A1" s="20" t="s">
        <v>71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4" spans="1:13" s="2" customFormat="1" ht="15.6" x14ac:dyDescent="0.3">
      <c r="A4" s="2" t="s">
        <v>1</v>
      </c>
      <c r="B4" s="2">
        <v>2022</v>
      </c>
      <c r="C4" s="2" t="s">
        <v>74</v>
      </c>
      <c r="D4" s="2">
        <v>2021</v>
      </c>
      <c r="E4" s="2" t="s">
        <v>74</v>
      </c>
      <c r="F4" s="2">
        <v>2020</v>
      </c>
      <c r="G4" s="2" t="s">
        <v>74</v>
      </c>
      <c r="H4" s="2">
        <v>2019</v>
      </c>
      <c r="I4" s="2" t="s">
        <v>74</v>
      </c>
      <c r="J4" s="2">
        <v>2018</v>
      </c>
      <c r="K4" s="2" t="s">
        <v>74</v>
      </c>
    </row>
    <row r="5" spans="1:13" s="2" customFormat="1" ht="15.6" x14ac:dyDescent="0.3">
      <c r="A5" s="2" t="s">
        <v>2</v>
      </c>
      <c r="B5" s="3">
        <v>1046562186</v>
      </c>
      <c r="C5" s="15">
        <f>B5/$B$5</f>
        <v>1</v>
      </c>
      <c r="D5" s="3">
        <v>773807394</v>
      </c>
      <c r="E5" s="15">
        <f>D5/$D$5</f>
        <v>1</v>
      </c>
      <c r="F5" s="3">
        <v>824577244</v>
      </c>
      <c r="G5" s="15">
        <f>F5/$F$5</f>
        <v>1</v>
      </c>
      <c r="H5" s="3">
        <v>799252742</v>
      </c>
      <c r="I5" s="15">
        <f>H5/$H$5</f>
        <v>1</v>
      </c>
      <c r="J5" s="3">
        <v>945699450</v>
      </c>
      <c r="K5" s="15">
        <f>J5/$J$5</f>
        <v>1</v>
      </c>
      <c r="L5" s="3"/>
      <c r="M5" s="15"/>
    </row>
    <row r="6" spans="1:13" ht="15.6" x14ac:dyDescent="0.3">
      <c r="A6" t="s">
        <v>3</v>
      </c>
      <c r="B6" s="4">
        <v>918031857</v>
      </c>
      <c r="C6" s="15">
        <f t="shared" ref="C6:C21" si="0">B6/$B$5</f>
        <v>0.87718806324233078</v>
      </c>
      <c r="D6" s="4">
        <v>682505268</v>
      </c>
      <c r="E6" s="15">
        <f t="shared" ref="E6:E21" si="1">D6/$D$5</f>
        <v>0.88200923549200405</v>
      </c>
      <c r="F6" s="4">
        <v>729930375</v>
      </c>
      <c r="G6" s="15">
        <f t="shared" ref="G6:G21" si="2">F6/$F$5</f>
        <v>0.88521770435857428</v>
      </c>
      <c r="H6" s="4">
        <v>682695931</v>
      </c>
      <c r="I6" s="15">
        <f t="shared" ref="I6:I21" si="3">H6/$H$5</f>
        <v>0.85416776837282338</v>
      </c>
      <c r="J6" s="4">
        <v>818873316</v>
      </c>
      <c r="K6" s="15">
        <f t="shared" ref="K6:K21" si="4">J6/$J$5</f>
        <v>0.86589171221364247</v>
      </c>
      <c r="L6" s="4"/>
      <c r="M6" s="15"/>
    </row>
    <row r="7" spans="1:13" s="2" customFormat="1" ht="15.6" x14ac:dyDescent="0.3">
      <c r="A7" s="2" t="s">
        <v>4</v>
      </c>
      <c r="B7" s="3">
        <v>128530329</v>
      </c>
      <c r="C7" s="15">
        <f t="shared" si="0"/>
        <v>0.12281193675766917</v>
      </c>
      <c r="D7" s="3">
        <v>91302126</v>
      </c>
      <c r="E7" s="15">
        <f t="shared" si="1"/>
        <v>0.11799076450799591</v>
      </c>
      <c r="F7" s="3">
        <v>94646869</v>
      </c>
      <c r="G7" s="15">
        <f t="shared" si="2"/>
        <v>0.11478229564142568</v>
      </c>
      <c r="H7" s="3">
        <v>116556811</v>
      </c>
      <c r="I7" s="15">
        <f t="shared" si="3"/>
        <v>0.14583223162717657</v>
      </c>
      <c r="J7" s="3">
        <v>126826134</v>
      </c>
      <c r="K7" s="15">
        <f t="shared" si="4"/>
        <v>0.1341082877863575</v>
      </c>
      <c r="L7" s="3"/>
      <c r="M7" s="15"/>
    </row>
    <row r="8" spans="1:13" ht="15.6" x14ac:dyDescent="0.3">
      <c r="A8" t="s">
        <v>5</v>
      </c>
      <c r="B8" s="4">
        <v>21342104</v>
      </c>
      <c r="C8" s="15">
        <f t="shared" si="0"/>
        <v>2.039258085711115E-2</v>
      </c>
      <c r="D8" s="4">
        <v>24165994</v>
      </c>
      <c r="E8" s="15">
        <f t="shared" si="1"/>
        <v>3.1229985894913794E-2</v>
      </c>
      <c r="F8" s="4">
        <v>24176366</v>
      </c>
      <c r="G8" s="15">
        <f t="shared" si="2"/>
        <v>2.9319710404232306E-2</v>
      </c>
      <c r="H8" s="4">
        <v>27941040</v>
      </c>
      <c r="I8" s="15">
        <f t="shared" si="3"/>
        <v>3.4958954197744876E-2</v>
      </c>
      <c r="J8" s="4">
        <v>34132822</v>
      </c>
      <c r="K8" s="15">
        <f t="shared" si="4"/>
        <v>3.6092674051994005E-2</v>
      </c>
      <c r="L8" s="4"/>
      <c r="M8" s="15"/>
    </row>
    <row r="9" spans="1:13" ht="15.6" x14ac:dyDescent="0.3">
      <c r="A9" t="s">
        <v>6</v>
      </c>
      <c r="B9" s="4">
        <v>5004255</v>
      </c>
      <c r="C9" s="15">
        <f t="shared" si="0"/>
        <v>4.7816126618585855E-3</v>
      </c>
      <c r="D9" s="4">
        <v>9261265</v>
      </c>
      <c r="E9" s="15">
        <f t="shared" si="1"/>
        <v>1.1968436941557579E-2</v>
      </c>
      <c r="F9" s="4">
        <v>8945103</v>
      </c>
      <c r="G9" s="15">
        <f t="shared" si="2"/>
        <v>1.0848108003329764E-2</v>
      </c>
      <c r="H9" s="4">
        <v>10219725</v>
      </c>
      <c r="I9" s="15">
        <f t="shared" si="3"/>
        <v>1.2786599861298943E-2</v>
      </c>
      <c r="J9" s="4">
        <v>13510565</v>
      </c>
      <c r="K9" s="15">
        <f t="shared" si="4"/>
        <v>1.4286320035398139E-2</v>
      </c>
      <c r="L9" s="4"/>
      <c r="M9" s="15"/>
    </row>
    <row r="10" spans="1:13" ht="15.6" x14ac:dyDescent="0.3">
      <c r="A10" t="s">
        <v>7</v>
      </c>
      <c r="B10" s="4">
        <v>16337849</v>
      </c>
      <c r="C10" s="15">
        <f t="shared" si="0"/>
        <v>1.5610968195252565E-2</v>
      </c>
      <c r="D10" s="4">
        <v>14904729</v>
      </c>
      <c r="E10" s="15">
        <f t="shared" si="1"/>
        <v>1.9261548953356213E-2</v>
      </c>
      <c r="F10" s="4">
        <v>15231263</v>
      </c>
      <c r="G10" s="15">
        <f t="shared" si="2"/>
        <v>1.847160240090254E-2</v>
      </c>
      <c r="H10" s="4">
        <v>17721315</v>
      </c>
      <c r="I10" s="15">
        <f t="shared" si="3"/>
        <v>2.2172354336445928E-2</v>
      </c>
      <c r="J10" s="4">
        <v>20622257</v>
      </c>
      <c r="K10" s="15">
        <f t="shared" si="4"/>
        <v>2.1806354016595864E-2</v>
      </c>
      <c r="L10" s="4"/>
      <c r="M10" s="15"/>
    </row>
    <row r="11" spans="1:13" s="2" customFormat="1" ht="15.6" x14ac:dyDescent="0.3">
      <c r="A11" s="2" t="s">
        <v>8</v>
      </c>
      <c r="B11" s="3">
        <v>107188224</v>
      </c>
      <c r="C11" s="15">
        <f t="shared" si="0"/>
        <v>0.10241935494504863</v>
      </c>
      <c r="D11" s="3">
        <v>67136131</v>
      </c>
      <c r="E11" s="15">
        <f t="shared" si="1"/>
        <v>8.6760777320770852E-2</v>
      </c>
      <c r="F11" s="3">
        <v>70470503</v>
      </c>
      <c r="G11" s="15">
        <f t="shared" si="2"/>
        <v>8.546258523719337E-2</v>
      </c>
      <c r="H11" s="3">
        <v>88615771</v>
      </c>
      <c r="I11" s="15">
        <f t="shared" si="3"/>
        <v>0.1108732774294317</v>
      </c>
      <c r="J11" s="3">
        <v>92693312</v>
      </c>
      <c r="K11" s="15">
        <f t="shared" si="4"/>
        <v>9.8015613734363488E-2</v>
      </c>
      <c r="L11" s="3"/>
      <c r="M11" s="15"/>
    </row>
    <row r="12" spans="1:13" ht="15.6" x14ac:dyDescent="0.3">
      <c r="A12" t="s">
        <v>9</v>
      </c>
      <c r="B12" s="4">
        <v>5744046</v>
      </c>
      <c r="C12" s="15">
        <f t="shared" si="0"/>
        <v>5.4884899118646351E-3</v>
      </c>
      <c r="D12" s="4">
        <v>21908703</v>
      </c>
      <c r="E12" s="15">
        <f t="shared" si="1"/>
        <v>2.8312863342838515E-2</v>
      </c>
      <c r="F12" s="4">
        <v>22489886</v>
      </c>
      <c r="G12" s="15">
        <f t="shared" si="2"/>
        <v>2.7274444163535513E-2</v>
      </c>
      <c r="H12" s="4">
        <v>16236492</v>
      </c>
      <c r="I12" s="15">
        <f t="shared" si="3"/>
        <v>2.0314590300148136E-2</v>
      </c>
      <c r="J12" s="4">
        <v>11497138</v>
      </c>
      <c r="K12" s="15">
        <f t="shared" si="4"/>
        <v>1.2157285277050759E-2</v>
      </c>
      <c r="L12" s="4"/>
      <c r="M12" s="15"/>
    </row>
    <row r="13" spans="1:13" ht="15.6" x14ac:dyDescent="0.3">
      <c r="A13" t="s">
        <v>10</v>
      </c>
      <c r="B13" s="4">
        <v>84748996</v>
      </c>
      <c r="C13" s="15">
        <f t="shared" si="0"/>
        <v>8.0978461799688983E-2</v>
      </c>
      <c r="D13" s="4">
        <v>79042355</v>
      </c>
      <c r="E13" s="15">
        <f t="shared" si="1"/>
        <v>0.10214732453176843</v>
      </c>
      <c r="F13" s="4">
        <v>80562913</v>
      </c>
      <c r="G13" s="15">
        <f t="shared" si="2"/>
        <v>9.7702081383172393E-2</v>
      </c>
      <c r="H13" s="4">
        <v>70642730</v>
      </c>
      <c r="I13" s="15">
        <f t="shared" si="3"/>
        <v>8.838597140527546E-2</v>
      </c>
      <c r="J13" s="4">
        <v>58277847</v>
      </c>
      <c r="K13" s="15">
        <f t="shared" si="4"/>
        <v>6.1624067773329044E-2</v>
      </c>
      <c r="L13" s="4"/>
      <c r="M13" s="15"/>
    </row>
    <row r="14" spans="1:13" s="2" customFormat="1" ht="15.6" x14ac:dyDescent="0.3">
      <c r="A14" s="2" t="s">
        <v>11</v>
      </c>
      <c r="B14" s="3">
        <v>28183274</v>
      </c>
      <c r="C14" s="15">
        <f t="shared" si="0"/>
        <v>2.6929383057224275E-2</v>
      </c>
      <c r="D14" s="3">
        <v>10002479</v>
      </c>
      <c r="E14" s="15">
        <f t="shared" si="1"/>
        <v>1.2926316131840943E-2</v>
      </c>
      <c r="F14" s="3">
        <v>12397476</v>
      </c>
      <c r="G14" s="15">
        <f t="shared" si="2"/>
        <v>1.5034948017556497E-2</v>
      </c>
      <c r="H14" s="3">
        <v>34209533</v>
      </c>
      <c r="I14" s="15">
        <f t="shared" si="3"/>
        <v>4.2801896324304381E-2</v>
      </c>
      <c r="J14" s="3">
        <v>45912603</v>
      </c>
      <c r="K14" s="15">
        <f t="shared" si="4"/>
        <v>4.8548831238085205E-2</v>
      </c>
      <c r="L14" s="3"/>
      <c r="M14" s="15"/>
    </row>
    <row r="15" spans="1:13" ht="15.6" x14ac:dyDescent="0.3">
      <c r="A15" t="s">
        <v>12</v>
      </c>
      <c r="B15" s="4">
        <v>1342061</v>
      </c>
      <c r="C15" s="15">
        <f t="shared" si="0"/>
        <v>1.2823518926566681E-3</v>
      </c>
      <c r="D15" s="4">
        <v>476309</v>
      </c>
      <c r="E15" s="15">
        <f t="shared" si="1"/>
        <v>6.1553947880730643E-4</v>
      </c>
      <c r="F15" s="4">
        <v>590357</v>
      </c>
      <c r="G15" s="15">
        <f t="shared" si="2"/>
        <v>7.1595111834058813E-4</v>
      </c>
      <c r="H15" s="4">
        <v>1629025</v>
      </c>
      <c r="I15" s="15">
        <f t="shared" si="3"/>
        <v>2.0381850626169013E-3</v>
      </c>
      <c r="J15" s="4">
        <v>2188695</v>
      </c>
      <c r="K15" s="15">
        <f t="shared" si="4"/>
        <v>2.3143663666083344E-3</v>
      </c>
      <c r="L15" s="4"/>
      <c r="M15" s="15"/>
    </row>
    <row r="16" spans="1:13" s="2" customFormat="1" ht="15.6" x14ac:dyDescent="0.3">
      <c r="A16" s="2" t="s">
        <v>13</v>
      </c>
      <c r="B16" s="3">
        <v>26841213</v>
      </c>
      <c r="C16" s="15">
        <f t="shared" si="0"/>
        <v>2.5647031164567607E-2</v>
      </c>
      <c r="D16" s="3">
        <v>9526170</v>
      </c>
      <c r="E16" s="15">
        <f t="shared" si="1"/>
        <v>1.2310776653033637E-2</v>
      </c>
      <c r="F16" s="3">
        <v>11807118</v>
      </c>
      <c r="G16" s="15">
        <f t="shared" si="2"/>
        <v>1.4318995686473249E-2</v>
      </c>
      <c r="H16" s="3">
        <v>32580507</v>
      </c>
      <c r="I16" s="15">
        <f t="shared" si="3"/>
        <v>4.0763710010518803E-2</v>
      </c>
      <c r="J16" s="3">
        <v>43723908</v>
      </c>
      <c r="K16" s="15">
        <f t="shared" si="4"/>
        <v>4.6234464871476873E-2</v>
      </c>
      <c r="L16" s="3"/>
      <c r="M16" s="15"/>
    </row>
    <row r="17" spans="1:13" ht="15.6" x14ac:dyDescent="0.3">
      <c r="A17" t="s">
        <v>14</v>
      </c>
      <c r="B17" s="4">
        <v>2251746</v>
      </c>
      <c r="C17" s="15">
        <f t="shared" si="0"/>
        <v>2.1515644556261465E-3</v>
      </c>
      <c r="D17" s="4">
        <v>2378114</v>
      </c>
      <c r="E17" s="15">
        <f t="shared" si="1"/>
        <v>3.0732634741404397E-3</v>
      </c>
      <c r="F17" s="4">
        <v>5585045</v>
      </c>
      <c r="G17" s="15">
        <f t="shared" si="2"/>
        <v>6.773222327731373E-3</v>
      </c>
      <c r="H17" s="4">
        <v>3837462</v>
      </c>
      <c r="I17" s="15">
        <f t="shared" si="3"/>
        <v>4.801312273758831E-3</v>
      </c>
      <c r="J17" s="5">
        <v>-9355054</v>
      </c>
      <c r="K17" s="15">
        <f t="shared" si="4"/>
        <v>-9.8922062395193321E-3</v>
      </c>
      <c r="L17" s="5"/>
      <c r="M17" s="15"/>
    </row>
    <row r="18" spans="1:13" ht="15.6" x14ac:dyDescent="0.3">
      <c r="A18" t="s">
        <v>15</v>
      </c>
      <c r="B18" s="5">
        <v>-6313837</v>
      </c>
      <c r="C18" s="15">
        <f t="shared" si="0"/>
        <v>-6.0329305649115053E-3</v>
      </c>
      <c r="D18" s="5">
        <v>-4774297</v>
      </c>
      <c r="E18" s="15">
        <f t="shared" si="1"/>
        <v>-6.1698777202431332E-3</v>
      </c>
      <c r="F18" s="4">
        <v>5082402</v>
      </c>
      <c r="G18" s="15">
        <f t="shared" si="2"/>
        <v>6.1636457190419386E-3</v>
      </c>
      <c r="H18" s="6" t="s">
        <v>16</v>
      </c>
      <c r="I18" s="16" t="s">
        <v>24</v>
      </c>
      <c r="J18" s="5">
        <v>-10943477</v>
      </c>
      <c r="K18" s="15">
        <f t="shared" si="4"/>
        <v>-1.1571833947878472E-2</v>
      </c>
      <c r="L18" s="5"/>
      <c r="M18" s="15"/>
    </row>
    <row r="19" spans="1:13" ht="15.6" x14ac:dyDescent="0.3">
      <c r="A19" t="s">
        <v>17</v>
      </c>
      <c r="B19" s="4">
        <v>8555582</v>
      </c>
      <c r="C19" s="15">
        <f t="shared" si="0"/>
        <v>8.1749389710894828E-3</v>
      </c>
      <c r="D19" s="4">
        <v>7152410</v>
      </c>
      <c r="E19" s="15">
        <f t="shared" si="1"/>
        <v>9.243139902072324E-3</v>
      </c>
      <c r="F19" s="4">
        <v>502643</v>
      </c>
      <c r="G19" s="15">
        <f t="shared" si="2"/>
        <v>6.0957660868943405E-4</v>
      </c>
      <c r="H19" s="4">
        <v>4307665</v>
      </c>
      <c r="I19" s="15">
        <f t="shared" si="3"/>
        <v>5.3896155416630403E-3</v>
      </c>
      <c r="J19" s="4">
        <v>1588423</v>
      </c>
      <c r="K19" s="15">
        <f t="shared" si="4"/>
        <v>1.679627708359141E-3</v>
      </c>
      <c r="L19" s="4"/>
      <c r="M19" s="15"/>
    </row>
    <row r="20" spans="1:13" s="2" customFormat="1" ht="15.6" x14ac:dyDescent="0.3">
      <c r="A20" s="2" t="s">
        <v>18</v>
      </c>
      <c r="B20" s="3">
        <v>29092959</v>
      </c>
      <c r="C20" s="15">
        <f t="shared" si="0"/>
        <v>2.7798595620193753E-2</v>
      </c>
      <c r="D20" s="3">
        <v>11904284</v>
      </c>
      <c r="E20" s="15">
        <f t="shared" si="1"/>
        <v>1.5384040127174075E-2</v>
      </c>
      <c r="F20" s="3">
        <v>6222074</v>
      </c>
      <c r="G20" s="15">
        <f t="shared" si="2"/>
        <v>7.5457745714845367E-3</v>
      </c>
      <c r="H20" s="3">
        <v>28743046</v>
      </c>
      <c r="I20" s="15">
        <f t="shared" si="3"/>
        <v>3.5962398987928655E-2</v>
      </c>
      <c r="J20" s="3">
        <v>53078962</v>
      </c>
      <c r="K20" s="15">
        <f t="shared" si="4"/>
        <v>5.6126671110996208E-2</v>
      </c>
      <c r="L20" s="3"/>
      <c r="M20" s="15"/>
    </row>
    <row r="21" spans="1:13" s="2" customFormat="1" ht="15.6" x14ac:dyDescent="0.3">
      <c r="A21" s="2" t="s">
        <v>19</v>
      </c>
      <c r="B21" s="2">
        <v>0.47</v>
      </c>
      <c r="C21" s="15">
        <f t="shared" si="0"/>
        <v>4.490894151224378E-10</v>
      </c>
      <c r="D21" s="2">
        <v>0.2</v>
      </c>
      <c r="E21" s="15">
        <f t="shared" si="1"/>
        <v>2.5846224984508225E-10</v>
      </c>
      <c r="F21" s="2">
        <v>0.1</v>
      </c>
      <c r="G21" s="15">
        <f t="shared" si="2"/>
        <v>1.2127426596798008E-10</v>
      </c>
      <c r="I21" s="15">
        <f t="shared" si="3"/>
        <v>0</v>
      </c>
      <c r="J21" s="2">
        <v>0.56000000000000005</v>
      </c>
      <c r="K21" s="15">
        <f t="shared" si="4"/>
        <v>5.9215430441457917E-10</v>
      </c>
      <c r="M21" s="15"/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1AC9-0F7C-4AAB-8F7D-832975FE0108}">
  <dimension ref="A1:L21"/>
  <sheetViews>
    <sheetView zoomScale="88" workbookViewId="0">
      <selection sqref="A1:L1"/>
    </sheetView>
  </sheetViews>
  <sheetFormatPr defaultColWidth="12.44140625" defaultRowHeight="14.4" x14ac:dyDescent="0.3"/>
  <cols>
    <col min="1" max="1" width="60" customWidth="1"/>
    <col min="2" max="2" width="19.5546875" customWidth="1"/>
    <col min="3" max="3" width="18.77734375" customWidth="1"/>
    <col min="4" max="4" width="17.44140625" customWidth="1"/>
    <col min="5" max="5" width="19" customWidth="1"/>
    <col min="6" max="6" width="17.77734375" customWidth="1"/>
    <col min="7" max="7" width="18.77734375" customWidth="1"/>
    <col min="8" max="8" width="17" customWidth="1"/>
    <col min="9" max="9" width="19.21875" customWidth="1"/>
    <col min="10" max="10" width="17.88671875" customWidth="1"/>
    <col min="11" max="11" width="22" customWidth="1"/>
    <col min="12" max="12" width="21.33203125" customWidth="1"/>
    <col min="13" max="13" width="22.33203125" customWidth="1"/>
  </cols>
  <sheetData>
    <row r="1" spans="1:12" ht="21" x14ac:dyDescent="0.4">
      <c r="A1" s="20" t="s">
        <v>72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</row>
    <row r="4" spans="1:12" s="2" customFormat="1" ht="15.6" x14ac:dyDescent="0.3">
      <c r="A4" s="2" t="s">
        <v>1</v>
      </c>
      <c r="B4" s="2">
        <v>2022</v>
      </c>
      <c r="C4" s="2" t="s">
        <v>75</v>
      </c>
      <c r="D4" s="2">
        <v>2021</v>
      </c>
      <c r="E4" s="2" t="s">
        <v>75</v>
      </c>
      <c r="F4" s="2">
        <v>2020</v>
      </c>
      <c r="G4" s="2" t="s">
        <v>75</v>
      </c>
      <c r="H4" s="2">
        <v>2019</v>
      </c>
      <c r="I4" s="2" t="s">
        <v>75</v>
      </c>
      <c r="J4" s="2">
        <v>2018</v>
      </c>
    </row>
    <row r="5" spans="1:12" s="2" customFormat="1" ht="15.6" x14ac:dyDescent="0.3">
      <c r="A5" s="2" t="s">
        <v>2</v>
      </c>
      <c r="B5" s="3">
        <v>1046562186</v>
      </c>
      <c r="C5" s="15">
        <f>(B5-D5)/D5</f>
        <v>0.35248408598173719</v>
      </c>
      <c r="D5" s="3">
        <v>773807394</v>
      </c>
      <c r="E5" s="15">
        <f>(D5-F5)/F5</f>
        <v>-6.1570762920544531E-2</v>
      </c>
      <c r="F5" s="3">
        <v>824577244</v>
      </c>
      <c r="G5" s="15">
        <f>(F5-H5)/H5</f>
        <v>3.1685223796204379E-2</v>
      </c>
      <c r="H5" s="3">
        <v>799252742</v>
      </c>
      <c r="I5" s="15">
        <f>(H5-J5)/J5</f>
        <v>-0.1548554437670446</v>
      </c>
      <c r="J5" s="3">
        <v>945699450</v>
      </c>
      <c r="K5" s="15"/>
      <c r="L5" s="3"/>
    </row>
    <row r="6" spans="1:12" ht="15.6" x14ac:dyDescent="0.3">
      <c r="A6" t="s">
        <v>3</v>
      </c>
      <c r="B6" s="4">
        <v>918031857</v>
      </c>
      <c r="C6" s="15">
        <f t="shared" ref="C6:C21" si="0">(B6-D6)/D6</f>
        <v>0.34509123964739857</v>
      </c>
      <c r="D6" s="4">
        <v>682505268</v>
      </c>
      <c r="E6" s="15">
        <f t="shared" ref="E6:E21" si="1">(D6-F6)/F6</f>
        <v>-6.4972096824988279E-2</v>
      </c>
      <c r="F6" s="4">
        <v>729930375</v>
      </c>
      <c r="G6" s="15">
        <f t="shared" ref="G6:G20" si="2">(F6-H6)/H6</f>
        <v>6.9188114144479937E-2</v>
      </c>
      <c r="H6" s="4">
        <v>682695931</v>
      </c>
      <c r="I6" s="15">
        <f t="shared" ref="I6:I21" si="3">(H6-J6)/J6</f>
        <v>-0.16629847662541247</v>
      </c>
      <c r="J6" s="4">
        <v>818873316</v>
      </c>
      <c r="K6" s="15"/>
      <c r="L6" s="4"/>
    </row>
    <row r="7" spans="1:12" s="2" customFormat="1" ht="15.6" x14ac:dyDescent="0.3">
      <c r="A7" s="2" t="s">
        <v>4</v>
      </c>
      <c r="B7" s="3">
        <v>128530329</v>
      </c>
      <c r="C7" s="15">
        <f t="shared" si="0"/>
        <v>0.40774738366990493</v>
      </c>
      <c r="D7" s="3">
        <v>91302126</v>
      </c>
      <c r="E7" s="15">
        <f t="shared" si="1"/>
        <v>-3.5339182746763655E-2</v>
      </c>
      <c r="F7" s="3">
        <v>94646869</v>
      </c>
      <c r="G7" s="15">
        <f t="shared" si="2"/>
        <v>-0.18797650529405785</v>
      </c>
      <c r="H7" s="3">
        <v>116556811</v>
      </c>
      <c r="I7" s="15">
        <f t="shared" si="3"/>
        <v>-8.0971663143181521E-2</v>
      </c>
      <c r="J7" s="3">
        <v>126826134</v>
      </c>
      <c r="K7" s="15"/>
      <c r="L7" s="3"/>
    </row>
    <row r="8" spans="1:12" ht="15.6" x14ac:dyDescent="0.3">
      <c r="A8" t="s">
        <v>5</v>
      </c>
      <c r="B8" s="4">
        <v>21342104</v>
      </c>
      <c r="C8" s="15">
        <f t="shared" si="0"/>
        <v>-0.11685387325677561</v>
      </c>
      <c r="D8" s="4">
        <v>24165994</v>
      </c>
      <c r="E8" s="15">
        <f t="shared" si="1"/>
        <v>-4.2901402137939177E-4</v>
      </c>
      <c r="F8" s="4">
        <v>24176366</v>
      </c>
      <c r="G8" s="15">
        <f t="shared" si="2"/>
        <v>-0.13473635913337514</v>
      </c>
      <c r="H8" s="4">
        <v>27941040</v>
      </c>
      <c r="I8" s="15">
        <f t="shared" si="3"/>
        <v>-0.18140258077694249</v>
      </c>
      <c r="J8" s="4">
        <v>34132822</v>
      </c>
      <c r="K8" s="15"/>
      <c r="L8" s="4"/>
    </row>
    <row r="9" spans="1:12" ht="15.6" x14ac:dyDescent="0.3">
      <c r="A9" t="s">
        <v>6</v>
      </c>
      <c r="B9" s="4">
        <v>5004255</v>
      </c>
      <c r="C9" s="15">
        <f t="shared" si="0"/>
        <v>-0.45965750899040247</v>
      </c>
      <c r="D9" s="4">
        <v>9261265</v>
      </c>
      <c r="E9" s="15">
        <f t="shared" si="1"/>
        <v>3.5344702011815853E-2</v>
      </c>
      <c r="F9" s="4">
        <v>8945103</v>
      </c>
      <c r="G9" s="15">
        <f t="shared" si="2"/>
        <v>-0.12472175131914019</v>
      </c>
      <c r="H9" s="4">
        <v>10219725</v>
      </c>
      <c r="I9" s="15">
        <f t="shared" si="3"/>
        <v>-0.24357530569594979</v>
      </c>
      <c r="J9" s="4">
        <v>13510565</v>
      </c>
      <c r="K9" s="15"/>
      <c r="L9" s="4"/>
    </row>
    <row r="10" spans="1:12" ht="15.6" x14ac:dyDescent="0.3">
      <c r="A10" t="s">
        <v>7</v>
      </c>
      <c r="B10" s="4">
        <v>16337849</v>
      </c>
      <c r="C10" s="15">
        <f t="shared" si="0"/>
        <v>9.6152033358003361E-2</v>
      </c>
      <c r="D10" s="4">
        <v>14904729</v>
      </c>
      <c r="E10" s="15">
        <f t="shared" si="1"/>
        <v>-2.1438405994302641E-2</v>
      </c>
      <c r="F10" s="4">
        <v>15231263</v>
      </c>
      <c r="G10" s="15">
        <f t="shared" si="2"/>
        <v>-0.14051169453282672</v>
      </c>
      <c r="H10" s="4">
        <v>17721315</v>
      </c>
      <c r="I10" s="15">
        <f t="shared" si="3"/>
        <v>-0.14067044164952458</v>
      </c>
      <c r="J10" s="4">
        <v>20622257</v>
      </c>
      <c r="K10" s="15"/>
      <c r="L10" s="4"/>
    </row>
    <row r="11" spans="1:12" s="2" customFormat="1" ht="15.6" x14ac:dyDescent="0.3">
      <c r="A11" s="2" t="s">
        <v>8</v>
      </c>
      <c r="B11" s="3">
        <v>107188224</v>
      </c>
      <c r="C11" s="15">
        <f t="shared" si="0"/>
        <v>0.59658029742583762</v>
      </c>
      <c r="D11" s="3">
        <v>67136131</v>
      </c>
      <c r="E11" s="15">
        <f t="shared" si="1"/>
        <v>-4.7315853556487313E-2</v>
      </c>
      <c r="F11" s="3">
        <v>70470503</v>
      </c>
      <c r="G11" s="15">
        <f t="shared" si="2"/>
        <v>-0.20476341620951422</v>
      </c>
      <c r="H11" s="3">
        <v>88615771</v>
      </c>
      <c r="I11" s="15">
        <f t="shared" si="3"/>
        <v>-4.3989592258824456E-2</v>
      </c>
      <c r="J11" s="3">
        <v>92693312</v>
      </c>
      <c r="K11" s="15"/>
      <c r="L11" s="3"/>
    </row>
    <row r="12" spans="1:12" ht="15.6" x14ac:dyDescent="0.3">
      <c r="A12" t="s">
        <v>9</v>
      </c>
      <c r="B12" s="4">
        <v>5744046</v>
      </c>
      <c r="C12" s="15">
        <f t="shared" si="0"/>
        <v>-0.73781898453778849</v>
      </c>
      <c r="D12" s="4">
        <v>21908703</v>
      </c>
      <c r="E12" s="15">
        <f t="shared" si="1"/>
        <v>-2.584197180901673E-2</v>
      </c>
      <c r="F12" s="4">
        <v>22489886</v>
      </c>
      <c r="G12" s="15">
        <f t="shared" si="2"/>
        <v>0.38514440188188431</v>
      </c>
      <c r="H12" s="4">
        <v>16236492</v>
      </c>
      <c r="I12" s="15">
        <f t="shared" si="3"/>
        <v>0.41222032822429372</v>
      </c>
      <c r="J12" s="4">
        <v>11497138</v>
      </c>
      <c r="K12" s="15"/>
      <c r="L12" s="4"/>
    </row>
    <row r="13" spans="1:12" ht="15.6" x14ac:dyDescent="0.3">
      <c r="A13" t="s">
        <v>10</v>
      </c>
      <c r="B13" s="4">
        <v>84748996</v>
      </c>
      <c r="C13" s="15">
        <f t="shared" si="0"/>
        <v>7.2197254244259296E-2</v>
      </c>
      <c r="D13" s="4">
        <v>79042355</v>
      </c>
      <c r="E13" s="15">
        <f t="shared" si="1"/>
        <v>-1.8874168564386444E-2</v>
      </c>
      <c r="F13" s="4">
        <v>80562913</v>
      </c>
      <c r="G13" s="15">
        <f t="shared" si="2"/>
        <v>0.14042751462181599</v>
      </c>
      <c r="H13" s="4">
        <v>70642730</v>
      </c>
      <c r="I13" s="15">
        <f t="shared" si="3"/>
        <v>0.21217123892720333</v>
      </c>
      <c r="J13" s="4">
        <v>58277847</v>
      </c>
      <c r="K13" s="15"/>
      <c r="L13" s="4"/>
    </row>
    <row r="14" spans="1:12" s="2" customFormat="1" ht="15.6" x14ac:dyDescent="0.3">
      <c r="A14" s="2" t="s">
        <v>11</v>
      </c>
      <c r="B14" s="3">
        <v>28183274</v>
      </c>
      <c r="C14" s="15">
        <f t="shared" si="0"/>
        <v>1.8176289097932623</v>
      </c>
      <c r="D14" s="3">
        <v>10002479</v>
      </c>
      <c r="E14" s="15">
        <f t="shared" si="1"/>
        <v>-0.19318424169564838</v>
      </c>
      <c r="F14" s="3">
        <v>12397476</v>
      </c>
      <c r="G14" s="15">
        <f t="shared" si="2"/>
        <v>-0.63760171762648732</v>
      </c>
      <c r="H14" s="3">
        <v>34209533</v>
      </c>
      <c r="I14" s="15">
        <f t="shared" si="3"/>
        <v>-0.25489885642075227</v>
      </c>
      <c r="J14" s="3">
        <v>45912603</v>
      </c>
      <c r="K14" s="15"/>
      <c r="L14" s="3"/>
    </row>
    <row r="15" spans="1:12" ht="15.6" x14ac:dyDescent="0.3">
      <c r="A15" t="s">
        <v>12</v>
      </c>
      <c r="B15" s="4">
        <v>1342061</v>
      </c>
      <c r="C15" s="15">
        <f t="shared" si="0"/>
        <v>1.8176267926912992</v>
      </c>
      <c r="D15" s="4">
        <v>476309</v>
      </c>
      <c r="E15" s="15">
        <f t="shared" si="1"/>
        <v>-0.19318480173860902</v>
      </c>
      <c r="F15" s="4">
        <v>590357</v>
      </c>
      <c r="G15" s="15">
        <f t="shared" si="2"/>
        <v>-0.63760101901444111</v>
      </c>
      <c r="H15" s="4">
        <v>1629025</v>
      </c>
      <c r="I15" s="15">
        <f t="shared" si="3"/>
        <v>-0.25570945243626908</v>
      </c>
      <c r="J15" s="4">
        <v>2188695</v>
      </c>
      <c r="K15" s="15"/>
      <c r="L15" s="4"/>
    </row>
    <row r="16" spans="1:12" s="2" customFormat="1" ht="15.6" x14ac:dyDescent="0.3">
      <c r="A16" s="2" t="s">
        <v>13</v>
      </c>
      <c r="B16" s="3">
        <v>26841213</v>
      </c>
      <c r="C16" s="15">
        <f t="shared" si="0"/>
        <v>1.8176290156484716</v>
      </c>
      <c r="D16" s="3">
        <v>9526170</v>
      </c>
      <c r="E16" s="15">
        <f t="shared" si="1"/>
        <v>-0.19318414536045123</v>
      </c>
      <c r="F16" s="3">
        <v>11807118</v>
      </c>
      <c r="G16" s="15">
        <f t="shared" si="2"/>
        <v>-0.63760177212711888</v>
      </c>
      <c r="H16" s="3">
        <v>32580507</v>
      </c>
      <c r="I16" s="15">
        <f t="shared" si="3"/>
        <v>-0.25485830315076136</v>
      </c>
      <c r="J16" s="3">
        <v>43723908</v>
      </c>
      <c r="K16" s="15"/>
      <c r="L16" s="3"/>
    </row>
    <row r="17" spans="1:12" ht="15.6" x14ac:dyDescent="0.3">
      <c r="A17" t="s">
        <v>14</v>
      </c>
      <c r="B17" s="4">
        <v>2251746</v>
      </c>
      <c r="C17" s="15">
        <f t="shared" si="0"/>
        <v>-5.3137906761408407E-2</v>
      </c>
      <c r="D17" s="4">
        <v>2378114</v>
      </c>
      <c r="E17" s="15">
        <f t="shared" si="1"/>
        <v>-0.57419967072780975</v>
      </c>
      <c r="F17" s="4">
        <v>5585045</v>
      </c>
      <c r="G17" s="15">
        <f t="shared" si="2"/>
        <v>0.45540073100398126</v>
      </c>
      <c r="H17" s="4">
        <v>3837462</v>
      </c>
      <c r="I17" s="15">
        <f t="shared" si="3"/>
        <v>-1.4102020148681129</v>
      </c>
      <c r="J17" s="5">
        <v>-9355054</v>
      </c>
      <c r="K17" s="15"/>
      <c r="L17" s="5"/>
    </row>
    <row r="18" spans="1:12" ht="15.6" x14ac:dyDescent="0.3">
      <c r="A18" t="s">
        <v>15</v>
      </c>
      <c r="B18" s="5">
        <v>-6313837</v>
      </c>
      <c r="C18" s="15">
        <f t="shared" si="0"/>
        <v>0.32246422876498887</v>
      </c>
      <c r="D18" s="5">
        <v>-4774297</v>
      </c>
      <c r="E18" s="15">
        <f t="shared" si="1"/>
        <v>-1.9393780735959099</v>
      </c>
      <c r="F18" s="4">
        <v>5082402</v>
      </c>
      <c r="G18" s="16" t="s">
        <v>24</v>
      </c>
      <c r="H18" s="6" t="s">
        <v>16</v>
      </c>
      <c r="I18" s="16" t="s">
        <v>24</v>
      </c>
      <c r="J18" s="5">
        <v>-10943477</v>
      </c>
      <c r="K18" s="15"/>
      <c r="L18" s="5"/>
    </row>
    <row r="19" spans="1:12" ht="15.6" x14ac:dyDescent="0.3">
      <c r="A19" t="s">
        <v>17</v>
      </c>
      <c r="B19" s="4">
        <v>8555582</v>
      </c>
      <c r="C19" s="15">
        <f t="shared" si="0"/>
        <v>0.1961817065856124</v>
      </c>
      <c r="D19" s="4">
        <v>7152410</v>
      </c>
      <c r="E19" s="15">
        <f t="shared" si="1"/>
        <v>13.229602322125245</v>
      </c>
      <c r="F19" s="4">
        <v>502643</v>
      </c>
      <c r="G19" s="15">
        <f t="shared" si="2"/>
        <v>-0.88331427815301333</v>
      </c>
      <c r="H19" s="4">
        <v>4307665</v>
      </c>
      <c r="I19" s="15">
        <f t="shared" si="3"/>
        <v>1.7119130105771574</v>
      </c>
      <c r="J19" s="4">
        <v>1588423</v>
      </c>
      <c r="K19" s="15"/>
      <c r="L19" s="4"/>
    </row>
    <row r="20" spans="1:12" s="2" customFormat="1" ht="15.6" x14ac:dyDescent="0.3">
      <c r="A20" s="2" t="s">
        <v>18</v>
      </c>
      <c r="B20" s="3">
        <v>29092959</v>
      </c>
      <c r="C20" s="15">
        <f t="shared" si="0"/>
        <v>1.4439066641891272</v>
      </c>
      <c r="D20" s="3">
        <v>11904284</v>
      </c>
      <c r="E20" s="15">
        <f t="shared" si="1"/>
        <v>0.91323407596888106</v>
      </c>
      <c r="F20" s="3">
        <v>6222074</v>
      </c>
      <c r="G20" s="15">
        <f t="shared" si="2"/>
        <v>-0.78352767483307095</v>
      </c>
      <c r="H20" s="3">
        <v>28743046</v>
      </c>
      <c r="I20" s="15">
        <f t="shared" si="3"/>
        <v>-0.4584851527428136</v>
      </c>
      <c r="J20" s="3">
        <v>53078962</v>
      </c>
      <c r="K20" s="15"/>
      <c r="L20" s="3"/>
    </row>
    <row r="21" spans="1:12" s="2" customFormat="1" ht="15.6" x14ac:dyDescent="0.3">
      <c r="A21" s="2" t="s">
        <v>19</v>
      </c>
      <c r="B21" s="2">
        <v>0.47</v>
      </c>
      <c r="C21" s="15">
        <f t="shared" si="0"/>
        <v>1.3499999999999996</v>
      </c>
      <c r="D21" s="2">
        <v>0.2</v>
      </c>
      <c r="E21" s="15">
        <f t="shared" si="1"/>
        <v>1</v>
      </c>
      <c r="F21" s="2">
        <v>0.1</v>
      </c>
      <c r="G21" s="16" t="s">
        <v>24</v>
      </c>
      <c r="I21" s="15">
        <f t="shared" si="3"/>
        <v>-1</v>
      </c>
      <c r="J21" s="2">
        <v>0.56000000000000005</v>
      </c>
      <c r="K21" s="15"/>
    </row>
  </sheetData>
  <mergeCells count="1">
    <mergeCell ref="A1:L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4922-CF0D-4147-B3B0-CC69A399D641}">
  <dimension ref="G1:M25"/>
  <sheetViews>
    <sheetView tabSelected="1" zoomScale="97" workbookViewId="0">
      <selection activeCell="G2" sqref="G2:M3"/>
    </sheetView>
  </sheetViews>
  <sheetFormatPr defaultRowHeight="14.4" x14ac:dyDescent="0.3"/>
  <cols>
    <col min="1" max="1" width="33.33203125" customWidth="1"/>
  </cols>
  <sheetData>
    <row r="1" spans="7:13" x14ac:dyDescent="0.3">
      <c r="H1" s="19"/>
    </row>
    <row r="2" spans="7:13" ht="18" customHeight="1" x14ac:dyDescent="0.3">
      <c r="G2" s="27" t="s">
        <v>76</v>
      </c>
      <c r="H2" s="27"/>
      <c r="I2" s="27"/>
      <c r="J2" s="27"/>
      <c r="K2" s="27"/>
      <c r="L2" s="27"/>
      <c r="M2" s="27"/>
    </row>
    <row r="3" spans="7:13" x14ac:dyDescent="0.3">
      <c r="G3" s="27"/>
      <c r="H3" s="27"/>
      <c r="I3" s="27"/>
      <c r="J3" s="27"/>
      <c r="K3" s="27"/>
      <c r="L3" s="27"/>
      <c r="M3" s="27"/>
    </row>
    <row r="4" spans="7:13" ht="15.6" x14ac:dyDescent="0.3">
      <c r="G4" s="24" t="s">
        <v>53</v>
      </c>
      <c r="H4" s="25"/>
      <c r="I4" s="26">
        <v>2022</v>
      </c>
      <c r="J4" s="26">
        <v>2021</v>
      </c>
      <c r="K4" s="26">
        <v>2020</v>
      </c>
      <c r="L4" s="26">
        <v>2019</v>
      </c>
      <c r="M4" s="26">
        <v>2018</v>
      </c>
    </row>
    <row r="6" spans="7:13" ht="15.6" x14ac:dyDescent="0.3">
      <c r="G6" s="2" t="s">
        <v>54</v>
      </c>
    </row>
    <row r="8" spans="7:13" x14ac:dyDescent="0.3">
      <c r="G8" t="s">
        <v>55</v>
      </c>
      <c r="I8" s="12">
        <f>'BS of DBP'!C15/'BS of DBP'!C33</f>
        <v>1.7503079501781154</v>
      </c>
      <c r="J8" s="12">
        <f>'BS of DBP'!D15/'BS of DBP'!D33</f>
        <v>1.7621841884199989</v>
      </c>
      <c r="K8" s="12">
        <f>'BS of DBP'!E15/'BS of DBP'!E33</f>
        <v>1.1930817123932829</v>
      </c>
      <c r="L8" s="12">
        <f>'BS of DBP'!F15/'BS of DBP'!F33</f>
        <v>1.2279079232859749</v>
      </c>
      <c r="M8" s="12">
        <f>'BS of DBP'!G15/'BS of DBP'!G33</f>
        <v>1.3640191422162766</v>
      </c>
    </row>
    <row r="9" spans="7:13" x14ac:dyDescent="0.3">
      <c r="G9" t="s">
        <v>56</v>
      </c>
      <c r="I9" s="12">
        <f>('BS of DBP'!C9+'BS of DBP'!C14)/'BS of DBP'!C33</f>
        <v>0.36954399263498405</v>
      </c>
      <c r="J9" s="12">
        <f>('BS of DBP'!D9+'BS of DBP'!D14)/'BS of DBP'!D33</f>
        <v>0.36924604127718219</v>
      </c>
      <c r="K9" s="12">
        <f>('BS of DBP'!E9+'BS of DBP'!E14)/'BS of DBP'!E33</f>
        <v>0.2170526051710229</v>
      </c>
      <c r="L9" s="12">
        <f>('BS of DBP'!F9+'BS of DBP'!F14)/'BS of DBP'!F33</f>
        <v>0.23908755691160929</v>
      </c>
      <c r="M9" s="12">
        <f>('BS of DBP'!G9+'BS of DBP'!G14)/'BS of DBP'!G33</f>
        <v>0.30678507551316819</v>
      </c>
    </row>
    <row r="10" spans="7:13" x14ac:dyDescent="0.3">
      <c r="G10" t="s">
        <v>57</v>
      </c>
      <c r="I10" s="12">
        <f>'IS of DBP'!C5/(('BS of DBP'!C9+'BS of DBP'!D9)/2)</f>
        <v>3.5595650182947964</v>
      </c>
      <c r="J10" s="12">
        <f>'IS of DBP'!D5/(('BS of DBP'!D9+'BS of DBP'!E9)/2)</f>
        <v>2.8026222434834271</v>
      </c>
      <c r="K10" s="12">
        <f>'IS of DBP'!E5/(('BS of DBP'!E9+'BS of DBP'!F9)/2)</f>
        <v>3.113009095679482</v>
      </c>
      <c r="L10" s="12">
        <f>'IS of DBP'!F5/(('BS of DBP'!F9+'BS of DBP'!G9)/2)</f>
        <v>2.8161136274501914</v>
      </c>
      <c r="M10" s="12">
        <f>'IS of DBP'!G5/(('BS of DBP'!G9+'BS of DBP'!H9)/2)</f>
        <v>6.2978689639261995</v>
      </c>
    </row>
    <row r="11" spans="7:13" x14ac:dyDescent="0.3">
      <c r="G11" t="s">
        <v>58</v>
      </c>
      <c r="I11">
        <f>365/I10</f>
        <v>102.54061890260193</v>
      </c>
      <c r="J11">
        <f t="shared" ref="J11:M11" si="0">365/J10</f>
        <v>130.23517559267469</v>
      </c>
      <c r="K11">
        <f t="shared" si="0"/>
        <v>117.24989834002743</v>
      </c>
      <c r="L11">
        <f t="shared" si="0"/>
        <v>129.61124737373748</v>
      </c>
      <c r="M11">
        <f t="shared" si="0"/>
        <v>57.956112153285062</v>
      </c>
    </row>
    <row r="12" spans="7:13" x14ac:dyDescent="0.3">
      <c r="G12" t="s">
        <v>59</v>
      </c>
      <c r="I12">
        <f>'IS of DBP'!C6/(('BS of DBP'!C8+'BS of DBP'!D8)/2)</f>
        <v>2.6750509323824354</v>
      </c>
      <c r="J12">
        <f>'IS of DBP'!D6/(('BS of DBP'!D8+'BS of DBP'!E8)/2)</f>
        <v>2.4070877999500535</v>
      </c>
      <c r="K12">
        <f>'IS of DBP'!E6/(('BS of DBP'!E8+'BS of DBP'!F8)/2)</f>
        <v>2.9045139182283277</v>
      </c>
      <c r="L12">
        <f>'IS of DBP'!F6/(('BS of DBP'!F8+'BS of DBP'!G8)/2)</f>
        <v>3.7509330398529861</v>
      </c>
      <c r="M12">
        <f>'IS of DBP'!G6/(('BS of DBP'!G8+'BS of DBP'!H8)/2)</f>
        <v>11.411063182108547</v>
      </c>
    </row>
    <row r="13" spans="7:13" x14ac:dyDescent="0.3">
      <c r="G13" t="s">
        <v>60</v>
      </c>
      <c r="I13">
        <f>365/I12</f>
        <v>136.44600017949048</v>
      </c>
      <c r="J13">
        <f t="shared" ref="J13:M13" si="1">365/J12</f>
        <v>151.63551574960152</v>
      </c>
      <c r="K13">
        <f t="shared" si="1"/>
        <v>125.66646615439178</v>
      </c>
      <c r="L13">
        <f t="shared" si="1"/>
        <v>97.309121789682976</v>
      </c>
      <c r="M13">
        <f t="shared" si="1"/>
        <v>31.986502412175316</v>
      </c>
    </row>
    <row r="15" spans="7:13" ht="15.6" x14ac:dyDescent="0.3">
      <c r="G15" s="2" t="s">
        <v>61</v>
      </c>
    </row>
    <row r="17" spans="7:13" x14ac:dyDescent="0.3">
      <c r="G17" t="s">
        <v>62</v>
      </c>
      <c r="I17" s="14">
        <f>'IS of DBP'!C20/'IS of DBP'!C5</f>
        <v>2.7798595620193753E-2</v>
      </c>
      <c r="J17" s="14">
        <f>'IS of DBP'!D20/'IS of DBP'!D5</f>
        <v>1.5384040127174075E-2</v>
      </c>
      <c r="K17" s="14">
        <f>'IS of DBP'!E20/'IS of DBP'!E5</f>
        <v>7.5457745714845367E-3</v>
      </c>
      <c r="L17" s="14">
        <f>'IS of DBP'!F20/'IS of DBP'!F5</f>
        <v>3.5962398987928655E-2</v>
      </c>
      <c r="M17" s="14">
        <f>'IS of DBP'!G20/'IS of DBP'!G5</f>
        <v>5.6126671110996208E-2</v>
      </c>
    </row>
    <row r="18" spans="7:13" x14ac:dyDescent="0.3">
      <c r="G18" t="s">
        <v>63</v>
      </c>
      <c r="I18" s="12">
        <f>'IS of DBP'!C5/(('BS of DBP'!C16+'BS of DBP'!D16)/2)</f>
        <v>0.41540122538711627</v>
      </c>
      <c r="J18" s="12">
        <f>'IS of DBP'!D5/(('BS of DBP'!D16+'BS of DBP'!E16)/2)</f>
        <v>0.3402148985606982</v>
      </c>
      <c r="K18" s="12">
        <f>'IS of DBP'!E5/(('BS of DBP'!E16+'BS of DBP'!F16)/2)</f>
        <v>0.415862657860606</v>
      </c>
      <c r="L18" s="12">
        <f>'IS of DBP'!F5/(('BS of DBP'!F16+'BS of DBP'!G16)/2)</f>
        <v>0.42957843678782393</v>
      </c>
      <c r="M18" s="12">
        <f>'IS of DBP'!G5/(('BS of DBP'!G16+'BS of DBP'!H16)/2)</f>
        <v>1.0741223891232869</v>
      </c>
    </row>
    <row r="19" spans="7:13" x14ac:dyDescent="0.3">
      <c r="G19" t="s">
        <v>64</v>
      </c>
      <c r="I19">
        <v>0.47</v>
      </c>
      <c r="J19">
        <v>0.2</v>
      </c>
      <c r="K19">
        <v>0.1</v>
      </c>
      <c r="L19">
        <v>0.47</v>
      </c>
      <c r="M19">
        <v>0.56000000000000005</v>
      </c>
    </row>
    <row r="20" spans="7:13" x14ac:dyDescent="0.3">
      <c r="G20" t="s">
        <v>68</v>
      </c>
      <c r="I20" s="14">
        <f>'IS of DBP'!C20/(('BS of DBP'!C16+'BS of DBP'!D16)/2)</f>
        <v>1.1547570684669408E-2</v>
      </c>
      <c r="J20" s="14">
        <f>'IS of DBP'!D20/(('BS of DBP'!D16+'BS of DBP'!E16)/2)</f>
        <v>5.2338796513202394E-3</v>
      </c>
      <c r="K20" s="14">
        <f>'IS of DBP'!E20/(('BS of DBP'!E16+'BS of DBP'!F16)/2)</f>
        <v>3.1380058689145346E-3</v>
      </c>
      <c r="L20" s="14">
        <f>'IS of DBP'!F20/(('BS of DBP'!F16+'BS of DBP'!G16)/2)</f>
        <v>1.5448671140374412E-2</v>
      </c>
      <c r="M20" s="14">
        <f>'IS of DBP'!G20/(('BS of DBP'!G16+'BS of DBP'!H16)/2)</f>
        <v>6.028691406728022E-2</v>
      </c>
    </row>
    <row r="21" spans="7:13" x14ac:dyDescent="0.3">
      <c r="G21" t="s">
        <v>65</v>
      </c>
      <c r="I21">
        <f>'BS of DBP'!C35/'Ratio Analysis'!I19</f>
        <v>38.510638297872347</v>
      </c>
      <c r="J21">
        <f>'BS of DBP'!D35/'Ratio Analysis'!J19</f>
        <v>103</v>
      </c>
      <c r="K21">
        <f>'BS of DBP'!E35/'Ratio Analysis'!K19</f>
        <v>115.5</v>
      </c>
      <c r="L21">
        <f>'BS of DBP'!F35/'Ratio Analysis'!L19</f>
        <v>23.680851063829792</v>
      </c>
      <c r="M21">
        <f>'BS of DBP'!G35/'Ratio Analysis'!M19</f>
        <v>25.678571428571427</v>
      </c>
    </row>
    <row r="22" spans="7:13" x14ac:dyDescent="0.3">
      <c r="I22" s="14"/>
      <c r="J22" s="14"/>
      <c r="K22" s="14"/>
      <c r="L22" s="14"/>
      <c r="M22" s="14"/>
    </row>
    <row r="24" spans="7:13" ht="15.6" x14ac:dyDescent="0.3">
      <c r="G24" s="2" t="s">
        <v>66</v>
      </c>
    </row>
    <row r="25" spans="7:13" x14ac:dyDescent="0.3">
      <c r="G25" t="s">
        <v>67</v>
      </c>
      <c r="I25" s="14">
        <f>('BS of DBP'!C33+'BS of DBP'!C24)/'BS of DBP'!C16</f>
        <v>0.55220537531482305</v>
      </c>
      <c r="J25" s="14">
        <f>('BS of DBP'!D33+'BS of DBP'!D24)/'BS of DBP'!D16</f>
        <v>0.56414049084474249</v>
      </c>
      <c r="K25" s="14">
        <f>('BS of DBP'!E33+'BS of DBP'!E24)/'BS of DBP'!E16</f>
        <v>0.6791720116493688</v>
      </c>
      <c r="L25" s="14">
        <f>('BS of DBP'!F33+'BS of DBP'!F24)/'BS of DBP'!F16</f>
        <v>0.66454986641528868</v>
      </c>
      <c r="M25" s="14">
        <f>('BS of DBP'!G33+'BS of DBP'!G24)/'BS of DBP'!G16</f>
        <v>0.62547269256704208</v>
      </c>
    </row>
  </sheetData>
  <mergeCells count="1">
    <mergeCell ref="G2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BS of DBP</vt:lpstr>
      <vt:lpstr>Vertical Analysis(BS) of DBP</vt:lpstr>
      <vt:lpstr>Horizontal Analysis(BS) of DBP</vt:lpstr>
      <vt:lpstr>IS of DBP</vt:lpstr>
      <vt:lpstr>Vertical Analysis(IS) of DBP</vt:lpstr>
      <vt:lpstr>Horizontal Analysis(IS) of DBP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Wadud Rahaman</dc:creator>
  <cp:lastModifiedBy>Wadud Rahaman</cp:lastModifiedBy>
  <dcterms:created xsi:type="dcterms:W3CDTF">2023-10-23T11:08:00Z</dcterms:created>
  <dcterms:modified xsi:type="dcterms:W3CDTF">2023-10-30T12:32:40Z</dcterms:modified>
</cp:coreProperties>
</file>