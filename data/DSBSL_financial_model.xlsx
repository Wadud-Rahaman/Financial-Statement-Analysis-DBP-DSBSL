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rd Semester\Principles of Finance (ALD 2102)\Termpaper\"/>
    </mc:Choice>
  </mc:AlternateContent>
  <xr:revisionPtr revIDLastSave="0" documentId="13_ncr:1_{187CFC9B-DDA0-4168-AF51-B749CD410020}" xr6:coauthVersionLast="47" xr6:coauthVersionMax="47" xr10:uidLastSave="{00000000-0000-0000-0000-000000000000}"/>
  <bookViews>
    <workbookView xWindow="-108" yWindow="-108" windowWidth="23256" windowHeight="12456" activeTab="4" xr2:uid="{68EE914F-7337-6C4B-B6D5-CEC78601E5D1}"/>
  </bookViews>
  <sheets>
    <sheet name="BS of DSBSL" sheetId="2" r:id="rId1"/>
    <sheet name="Vertical(BS) of DSBSL" sheetId="6" r:id="rId2"/>
    <sheet name="Horizontal Analysis(BS) ofDSBSL" sheetId="7" r:id="rId3"/>
    <sheet name="IS of DSBSL" sheetId="1" r:id="rId4"/>
    <sheet name="Vertical(IS) of DSBSL" sheetId="5" r:id="rId5"/>
    <sheet name="Horizontal Analysis(IS) ofDSBSL" sheetId="8" r:id="rId6"/>
    <sheet name="Ratio Analysis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1" l="1"/>
  <c r="I13" i="11" s="1"/>
  <c r="J25" i="11"/>
  <c r="K25" i="11"/>
  <c r="I25" i="11"/>
  <c r="J21" i="11"/>
  <c r="K21" i="11"/>
  <c r="I21" i="11"/>
  <c r="G32" i="7"/>
  <c r="G33" i="7"/>
  <c r="G30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3" i="7"/>
  <c r="G24" i="7"/>
  <c r="G25" i="7"/>
  <c r="G26" i="7"/>
  <c r="G27" i="7"/>
  <c r="G28" i="7"/>
  <c r="I30" i="6"/>
  <c r="I32" i="6"/>
  <c r="I33" i="6"/>
  <c r="I23" i="6"/>
  <c r="I24" i="6"/>
  <c r="I25" i="6"/>
  <c r="I26" i="6"/>
  <c r="I27" i="6"/>
  <c r="I28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J19" i="11"/>
  <c r="K19" i="11"/>
  <c r="L19" i="11"/>
  <c r="I19" i="11"/>
  <c r="J18" i="11"/>
  <c r="K18" i="11"/>
  <c r="L18" i="11"/>
  <c r="I18" i="11"/>
  <c r="J17" i="11"/>
  <c r="K17" i="11"/>
  <c r="L17" i="11"/>
  <c r="I17" i="11"/>
  <c r="J12" i="11"/>
  <c r="J13" i="11" s="1"/>
  <c r="K12" i="11"/>
  <c r="K13" i="11" s="1"/>
  <c r="L12" i="11"/>
  <c r="L13" i="11" s="1"/>
  <c r="J11" i="11"/>
  <c r="K11" i="11"/>
  <c r="J10" i="11"/>
  <c r="K10" i="11"/>
  <c r="L10" i="11"/>
  <c r="L11" i="11" s="1"/>
  <c r="I10" i="11"/>
  <c r="I11" i="11" s="1"/>
  <c r="K9" i="11"/>
  <c r="L9" i="11"/>
  <c r="J9" i="11"/>
  <c r="I9" i="11"/>
  <c r="J8" i="11"/>
  <c r="K8" i="11"/>
  <c r="L8" i="11"/>
  <c r="I8" i="11"/>
  <c r="H5" i="8"/>
  <c r="H6" i="8"/>
  <c r="H7" i="8"/>
  <c r="H8" i="8"/>
  <c r="H9" i="8"/>
  <c r="H10" i="8"/>
  <c r="H11" i="8"/>
  <c r="H13" i="8"/>
  <c r="H14" i="8"/>
  <c r="H15" i="8"/>
  <c r="H16" i="8"/>
  <c r="H17" i="8"/>
  <c r="H18" i="8"/>
  <c r="H19" i="8"/>
  <c r="H20" i="8"/>
  <c r="H21" i="8"/>
  <c r="H4" i="8"/>
  <c r="F5" i="8"/>
  <c r="F6" i="8"/>
  <c r="F7" i="8"/>
  <c r="F8" i="8"/>
  <c r="F9" i="8"/>
  <c r="F10" i="8"/>
  <c r="F11" i="8"/>
  <c r="F13" i="8"/>
  <c r="F14" i="8"/>
  <c r="F15" i="8"/>
  <c r="F16" i="8"/>
  <c r="F17" i="8"/>
  <c r="F18" i="8"/>
  <c r="F19" i="8"/>
  <c r="F20" i="8"/>
  <c r="F21" i="8"/>
  <c r="F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4" i="8"/>
  <c r="G5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3" i="7"/>
  <c r="E24" i="7"/>
  <c r="E25" i="7"/>
  <c r="E26" i="7"/>
  <c r="E27" i="7"/>
  <c r="E28" i="7"/>
  <c r="E30" i="7"/>
  <c r="E32" i="7"/>
  <c r="E33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5" i="7"/>
  <c r="I5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3" i="6"/>
  <c r="G24" i="6"/>
  <c r="G25" i="6"/>
  <c r="G26" i="6"/>
  <c r="G27" i="6"/>
  <c r="G28" i="6"/>
  <c r="G30" i="6"/>
  <c r="G32" i="6"/>
  <c r="G33" i="6"/>
  <c r="G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5" i="6"/>
  <c r="J5" i="5"/>
  <c r="J6" i="5"/>
  <c r="J7" i="5"/>
  <c r="J8" i="5"/>
  <c r="J9" i="5"/>
  <c r="J10" i="5"/>
  <c r="J11" i="5"/>
  <c r="J13" i="5"/>
  <c r="J14" i="5"/>
  <c r="J15" i="5"/>
  <c r="J16" i="5"/>
  <c r="J17" i="5"/>
  <c r="J18" i="5"/>
  <c r="J19" i="5"/>
  <c r="J20" i="5"/>
  <c r="J4" i="5"/>
  <c r="H5" i="5"/>
  <c r="H6" i="5"/>
  <c r="H7" i="5"/>
  <c r="H8" i="5"/>
  <c r="H9" i="5"/>
  <c r="H10" i="5"/>
  <c r="H11" i="5"/>
  <c r="H13" i="5"/>
  <c r="H14" i="5"/>
  <c r="H15" i="5"/>
  <c r="H16" i="5"/>
  <c r="H17" i="5"/>
  <c r="H18" i="5"/>
  <c r="H19" i="5"/>
  <c r="H20" i="5"/>
  <c r="H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4" i="5"/>
</calcChain>
</file>

<file path=xl/sharedStrings.xml><?xml version="1.0" encoding="utf-8"?>
<sst xmlns="http://schemas.openxmlformats.org/spreadsheetml/2006/main" count="232" uniqueCount="88">
  <si>
    <t>Cost of cales</t>
  </si>
  <si>
    <t>Gross profit</t>
  </si>
  <si>
    <t>Operating expenses</t>
  </si>
  <si>
    <t>Administrative eynenses</t>
  </si>
  <si>
    <t>Marketing &amp; Selling Expenses</t>
  </si>
  <si>
    <t>Operating profit</t>
  </si>
  <si>
    <t>Other Income/Miccellaneous Income</t>
  </si>
  <si>
    <t>Non-operating income</t>
  </si>
  <si>
    <t>Finance costs</t>
  </si>
  <si>
    <t>Profit before contribution to workers' profit participation fund</t>
  </si>
  <si>
    <t>Contribution to workers' profit particination fund</t>
  </si>
  <si>
    <t>Profit before taxation</t>
  </si>
  <si>
    <t>Current Tax</t>
  </si>
  <si>
    <t>Deferred Tay</t>
  </si>
  <si>
    <t>Earninas Per Share (EPS)</t>
  </si>
  <si>
    <t xml:space="preserve">Profit after tax </t>
  </si>
  <si>
    <t>Property, plant and equipment</t>
  </si>
  <si>
    <t>Right-of-Use (ROU) asset</t>
  </si>
  <si>
    <t>Projects in Progress (Non-Current Portion)</t>
  </si>
  <si>
    <t>Capital Work in Progress</t>
  </si>
  <si>
    <t>Total Non-current assets</t>
  </si>
  <si>
    <t>inventores</t>
  </si>
  <si>
    <t>Trade and other receivables</t>
  </si>
  <si>
    <t>Advances, deposits and prepayments</t>
  </si>
  <si>
    <t>Cash and cash equivalents</t>
  </si>
  <si>
    <t>Total Current assets</t>
  </si>
  <si>
    <t>Total assets</t>
  </si>
  <si>
    <t>Stated canital</t>
  </si>
  <si>
    <t>Retained Earninas</t>
  </si>
  <si>
    <t>Equity attributable to owners of the company</t>
  </si>
  <si>
    <t>Total equitv</t>
  </si>
  <si>
    <t>Long Term Borrowings/Loan</t>
  </si>
  <si>
    <t>Dofferred Tay I isbilities</t>
  </si>
  <si>
    <t>Lease liability (non-current portion)/ Finance Lease obligations- non-current portion/ Finance Lease Net off current portion</t>
  </si>
  <si>
    <t>Total Non-current liabilities</t>
  </si>
  <si>
    <t>Trade and other pavables</t>
  </si>
  <si>
    <t>Accrued expenses/Provision for expenses/liability for expenses</t>
  </si>
  <si>
    <t>Current portion of term lar</t>
  </si>
  <si>
    <t>Short term loan</t>
  </si>
  <si>
    <t>Income Tay Davable</t>
  </si>
  <si>
    <t>Current portion of lease obligation/ Finance</t>
  </si>
  <si>
    <t>Morkorel Drofit Dorticinstion Curd</t>
  </si>
  <si>
    <t>Dividend navable</t>
  </si>
  <si>
    <t>Total Current liabilities</t>
  </si>
  <si>
    <t>Total equity and liabilities</t>
  </si>
  <si>
    <t>Turnover</t>
  </si>
  <si>
    <t>Particulars</t>
  </si>
  <si>
    <t>Income Statements of Dominage Steel Building Systems Limited</t>
  </si>
  <si>
    <t>-</t>
  </si>
  <si>
    <t>Income tax expense</t>
  </si>
  <si>
    <t>Balance Sheet of Dominage Steel Building Systems Limited</t>
  </si>
  <si>
    <t>Vertical Analysis (2022)</t>
  </si>
  <si>
    <t>Vertical Analysis (2019)</t>
  </si>
  <si>
    <t>Vertical Analysis (2020)</t>
  </si>
  <si>
    <t>Vertical Analysis (2021)</t>
  </si>
  <si>
    <t>Horizontal Analysis(2022)</t>
  </si>
  <si>
    <t>Horizontal Analysis(2021)</t>
  </si>
  <si>
    <t>Horizontal Analysis(2020)</t>
  </si>
  <si>
    <t>Ratio Name</t>
  </si>
  <si>
    <t>Current Ratio</t>
  </si>
  <si>
    <t>Quick Ratio</t>
  </si>
  <si>
    <t>Account Receivable Turnover</t>
  </si>
  <si>
    <t>Average Collection Period</t>
  </si>
  <si>
    <t>Inventory Turnover</t>
  </si>
  <si>
    <t>Days in Inventory</t>
  </si>
  <si>
    <t>Profit margin</t>
  </si>
  <si>
    <t>Asset Turnover</t>
  </si>
  <si>
    <t>Earning Per Share(EPS)</t>
  </si>
  <si>
    <t>Price Earning Ratio</t>
  </si>
  <si>
    <t>Solvency Ratio:</t>
  </si>
  <si>
    <t>Profitability Ratio:</t>
  </si>
  <si>
    <t>Liquidity Ratio:</t>
  </si>
  <si>
    <t>Debt to Asset Ratio</t>
  </si>
  <si>
    <t>Return on Assets</t>
  </si>
  <si>
    <t>Market Price</t>
  </si>
  <si>
    <t>Horizontal Analysis</t>
  </si>
  <si>
    <t>Inventories</t>
  </si>
  <si>
    <t>Total equity</t>
  </si>
  <si>
    <t>Current portion of term loan</t>
  </si>
  <si>
    <t>Income Tay Payable</t>
  </si>
  <si>
    <t>Dividend Payable</t>
  </si>
  <si>
    <t>Vertical Analysis</t>
  </si>
  <si>
    <t xml:space="preserve">Vertical Analysis </t>
  </si>
  <si>
    <t>Ratio Analysis of Dominage Steel Building Systems Limited</t>
  </si>
  <si>
    <t>Income Statements of Dominage Steel Building Systems Limited(Horizontal Analysis)</t>
  </si>
  <si>
    <t>Balance Sheet of Dominage Steel Building Systems Limited(Horizontal Analysis)</t>
  </si>
  <si>
    <t>Balance Sheet of Dominage Steel Building Systems Limited(Vertical Analysis)</t>
  </si>
  <si>
    <t>Income Statements of Dominage Steel Building Systems Limited(Vertical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</si>
</sst>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4" fontId="2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9" fontId="0" fillId="0" borderId="0" xfId="1" applyFont="1"/>
    <xf numFmtId="9" fontId="1" fillId="0" borderId="0" xfId="1" applyFont="1"/>
    <xf numFmtId="2" fontId="0" fillId="0" borderId="0" xfId="0" applyNumberFormat="1"/>
    <xf numFmtId="10" fontId="1" fillId="0" borderId="0" xfId="0" applyNumberFormat="1" applyFont="1" applyAlignment="1">
      <alignment horizontal="center"/>
    </xf>
    <xf numFmtId="9" fontId="1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91DC-6BF3-1147-BCA1-58084F4A66F6}">
  <dimension ref="A1:F34"/>
  <sheetViews>
    <sheetView zoomScale="62" zoomScaleNormal="100" workbookViewId="0">
      <selection sqref="A1:F1"/>
    </sheetView>
  </sheetViews>
  <sheetFormatPr defaultColWidth="11.19921875" defaultRowHeight="15.6" x14ac:dyDescent="0.3"/>
  <cols>
    <col min="1" max="1" width="110.69921875" customWidth="1"/>
    <col min="3" max="3" width="21.296875" customWidth="1"/>
    <col min="4" max="4" width="25.796875" customWidth="1"/>
    <col min="5" max="5" width="21.296875" customWidth="1"/>
    <col min="6" max="6" width="23.5" customWidth="1"/>
  </cols>
  <sheetData>
    <row r="1" spans="1:6" ht="18" x14ac:dyDescent="0.35">
      <c r="A1" s="13" t="s">
        <v>50</v>
      </c>
      <c r="B1" s="12"/>
      <c r="C1" s="12"/>
      <c r="D1" s="12"/>
      <c r="E1" s="12"/>
      <c r="F1" s="12"/>
    </row>
    <row r="4" spans="1:6" s="1" customFormat="1" x14ac:dyDescent="0.3">
      <c r="A4" s="1" t="s">
        <v>46</v>
      </c>
      <c r="C4" s="1">
        <v>2022</v>
      </c>
      <c r="D4" s="1">
        <v>2021</v>
      </c>
      <c r="E4" s="1">
        <v>2020</v>
      </c>
      <c r="F4" s="1">
        <v>2019</v>
      </c>
    </row>
    <row r="5" spans="1:6" x14ac:dyDescent="0.3">
      <c r="A5" t="s">
        <v>16</v>
      </c>
      <c r="C5" s="2">
        <v>884774242</v>
      </c>
      <c r="D5" s="2">
        <v>805223543</v>
      </c>
      <c r="E5" s="2">
        <v>747219293</v>
      </c>
      <c r="F5" s="2">
        <v>694573079</v>
      </c>
    </row>
    <row r="6" spans="1:6" x14ac:dyDescent="0.3">
      <c r="A6" t="s">
        <v>17</v>
      </c>
      <c r="C6" s="2">
        <v>1304962</v>
      </c>
      <c r="D6" s="2">
        <v>1444041</v>
      </c>
      <c r="E6" s="6" t="s">
        <v>48</v>
      </c>
      <c r="F6" s="6" t="s">
        <v>48</v>
      </c>
    </row>
    <row r="7" spans="1:6" x14ac:dyDescent="0.3">
      <c r="A7" t="s">
        <v>18</v>
      </c>
      <c r="C7" s="2">
        <v>192689219</v>
      </c>
      <c r="D7" s="2">
        <v>221209585</v>
      </c>
      <c r="E7" s="2">
        <v>186376004</v>
      </c>
      <c r="F7" s="2">
        <v>178434246</v>
      </c>
    </row>
    <row r="8" spans="1:6" x14ac:dyDescent="0.3">
      <c r="A8" t="s">
        <v>19</v>
      </c>
      <c r="C8" s="2">
        <v>18208086</v>
      </c>
      <c r="D8" s="2">
        <v>11740030</v>
      </c>
      <c r="E8" s="2">
        <v>23948085</v>
      </c>
      <c r="F8" s="2">
        <v>17786355</v>
      </c>
    </row>
    <row r="9" spans="1:6" s="1" customFormat="1" x14ac:dyDescent="0.3">
      <c r="A9" s="1" t="s">
        <v>20</v>
      </c>
      <c r="C9" s="3">
        <v>1096976509</v>
      </c>
      <c r="D9" s="3">
        <v>1039617199</v>
      </c>
      <c r="E9" s="3">
        <v>957543382</v>
      </c>
      <c r="F9" s="3">
        <v>890793680</v>
      </c>
    </row>
    <row r="10" spans="1:6" x14ac:dyDescent="0.3">
      <c r="A10" t="s">
        <v>21</v>
      </c>
      <c r="C10" s="2">
        <v>357081053</v>
      </c>
      <c r="D10" s="2">
        <v>382727968</v>
      </c>
      <c r="E10" s="2">
        <v>379297787</v>
      </c>
      <c r="F10" s="2">
        <v>333405588</v>
      </c>
    </row>
    <row r="11" spans="1:6" x14ac:dyDescent="0.3">
      <c r="A11" t="s">
        <v>22</v>
      </c>
      <c r="C11" s="2">
        <v>169136365</v>
      </c>
      <c r="D11" s="2">
        <v>175419813</v>
      </c>
      <c r="E11" s="2">
        <v>172049846</v>
      </c>
      <c r="F11" s="2">
        <v>186702573</v>
      </c>
    </row>
    <row r="12" spans="1:6" x14ac:dyDescent="0.3">
      <c r="A12" t="s">
        <v>23</v>
      </c>
      <c r="C12" s="2">
        <v>185473547</v>
      </c>
      <c r="D12" s="2">
        <v>134271647</v>
      </c>
      <c r="E12" s="2">
        <v>126776065</v>
      </c>
      <c r="F12" s="2">
        <v>100947242</v>
      </c>
    </row>
    <row r="13" spans="1:6" x14ac:dyDescent="0.3">
      <c r="A13" t="s">
        <v>24</v>
      </c>
      <c r="C13" s="2">
        <v>151001785</v>
      </c>
      <c r="D13" s="2">
        <v>292243893</v>
      </c>
      <c r="E13" s="2">
        <v>9348913</v>
      </c>
      <c r="F13" s="2">
        <v>18302860</v>
      </c>
    </row>
    <row r="14" spans="1:6" s="1" customFormat="1" x14ac:dyDescent="0.3">
      <c r="A14" s="1" t="s">
        <v>25</v>
      </c>
      <c r="C14" s="3">
        <v>862692750</v>
      </c>
      <c r="D14" s="3">
        <v>984663321</v>
      </c>
      <c r="E14" s="3">
        <v>687472611</v>
      </c>
      <c r="F14" s="3">
        <v>639358263</v>
      </c>
    </row>
    <row r="15" spans="1:6" s="1" customFormat="1" x14ac:dyDescent="0.3">
      <c r="A15" s="1" t="s">
        <v>26</v>
      </c>
      <c r="C15" s="3">
        <v>1959669259</v>
      </c>
      <c r="D15" s="3">
        <v>2024280521</v>
      </c>
      <c r="E15" s="3">
        <v>1645015993</v>
      </c>
      <c r="F15" s="3">
        <v>1530151943</v>
      </c>
    </row>
    <row r="16" spans="1:6" x14ac:dyDescent="0.3">
      <c r="A16" t="s">
        <v>27</v>
      </c>
      <c r="C16" s="2">
        <v>1026000000</v>
      </c>
      <c r="D16" s="2">
        <v>1026000000</v>
      </c>
      <c r="E16" s="2">
        <v>650000000</v>
      </c>
      <c r="F16" s="2">
        <v>650000000</v>
      </c>
    </row>
    <row r="17" spans="1:6" x14ac:dyDescent="0.3">
      <c r="A17" t="s">
        <v>28</v>
      </c>
      <c r="C17" s="2">
        <v>742298212</v>
      </c>
      <c r="D17" s="2">
        <v>722076338</v>
      </c>
      <c r="E17" s="2">
        <v>729751773</v>
      </c>
      <c r="F17" s="2">
        <v>637477371</v>
      </c>
    </row>
    <row r="18" spans="1:6" s="1" customFormat="1" x14ac:dyDescent="0.3">
      <c r="A18" s="1" t="s">
        <v>29</v>
      </c>
      <c r="C18" s="3">
        <v>1768298212</v>
      </c>
      <c r="D18" s="3">
        <v>1748076338</v>
      </c>
      <c r="E18" s="3">
        <v>1379751773</v>
      </c>
      <c r="F18" s="3">
        <v>1287477371</v>
      </c>
    </row>
    <row r="19" spans="1:6" s="1" customFormat="1" x14ac:dyDescent="0.3">
      <c r="A19" s="1" t="s">
        <v>30</v>
      </c>
      <c r="C19" s="3">
        <v>1768298212</v>
      </c>
      <c r="D19" s="3">
        <v>1748076338</v>
      </c>
      <c r="E19" s="3">
        <v>1379751773</v>
      </c>
      <c r="F19" s="3">
        <v>1287477371</v>
      </c>
    </row>
    <row r="20" spans="1:6" x14ac:dyDescent="0.3">
      <c r="A20" t="s">
        <v>31</v>
      </c>
      <c r="C20" s="2">
        <v>24336755</v>
      </c>
      <c r="D20" s="2">
        <v>14641124</v>
      </c>
      <c r="E20" s="2">
        <v>5701578</v>
      </c>
      <c r="F20" s="2">
        <v>6101302</v>
      </c>
    </row>
    <row r="21" spans="1:6" x14ac:dyDescent="0.3">
      <c r="A21" t="s">
        <v>32</v>
      </c>
      <c r="C21" s="2">
        <v>71550905</v>
      </c>
      <c r="D21" s="2">
        <v>56194224</v>
      </c>
      <c r="E21" s="2">
        <v>79036298</v>
      </c>
      <c r="F21" s="2">
        <v>69124828</v>
      </c>
    </row>
    <row r="22" spans="1:6" x14ac:dyDescent="0.3">
      <c r="A22" t="s">
        <v>33</v>
      </c>
      <c r="C22" s="2">
        <v>530250</v>
      </c>
      <c r="D22" s="2">
        <v>1009295</v>
      </c>
      <c r="E22" s="6" t="s">
        <v>48</v>
      </c>
      <c r="F22" s="6" t="s">
        <v>48</v>
      </c>
    </row>
    <row r="23" spans="1:6" s="1" customFormat="1" x14ac:dyDescent="0.3">
      <c r="A23" s="1" t="s">
        <v>34</v>
      </c>
      <c r="C23" s="3">
        <v>96417910</v>
      </c>
      <c r="D23" s="3">
        <v>71844643</v>
      </c>
      <c r="E23" s="3">
        <v>84737876</v>
      </c>
      <c r="F23" s="3">
        <v>75226130</v>
      </c>
    </row>
    <row r="24" spans="1:6" x14ac:dyDescent="0.3">
      <c r="A24" t="s">
        <v>35</v>
      </c>
      <c r="C24" s="2">
        <v>20754512</v>
      </c>
      <c r="D24" s="2">
        <v>19567570</v>
      </c>
      <c r="E24" s="2">
        <v>26254870</v>
      </c>
      <c r="F24" s="2">
        <v>39469462</v>
      </c>
    </row>
    <row r="25" spans="1:6" x14ac:dyDescent="0.3">
      <c r="A25" t="s">
        <v>36</v>
      </c>
      <c r="C25" s="2">
        <v>2757081</v>
      </c>
      <c r="D25" s="2">
        <v>3273356</v>
      </c>
      <c r="E25" s="2">
        <v>2678504</v>
      </c>
      <c r="F25" s="2">
        <v>2844973</v>
      </c>
    </row>
    <row r="26" spans="1:6" x14ac:dyDescent="0.3">
      <c r="A26" t="s">
        <v>37</v>
      </c>
      <c r="C26" s="2">
        <v>11452591</v>
      </c>
      <c r="D26" s="2">
        <v>7883682</v>
      </c>
      <c r="E26" s="2">
        <v>3818023</v>
      </c>
      <c r="F26" s="2">
        <v>6903467</v>
      </c>
    </row>
    <row r="27" spans="1:6" x14ac:dyDescent="0.3">
      <c r="A27" t="s">
        <v>38</v>
      </c>
      <c r="C27" s="2">
        <v>43008343</v>
      </c>
      <c r="D27" s="2">
        <v>47930689</v>
      </c>
      <c r="E27" s="2">
        <v>44335538</v>
      </c>
      <c r="F27" s="2">
        <v>41022820</v>
      </c>
    </row>
    <row r="28" spans="1:6" x14ac:dyDescent="0.3">
      <c r="A28" t="s">
        <v>39</v>
      </c>
      <c r="C28" s="2">
        <v>11269878</v>
      </c>
      <c r="D28" s="2">
        <v>119142610</v>
      </c>
      <c r="E28" s="2">
        <v>96970007</v>
      </c>
      <c r="F28" s="2">
        <v>69767858</v>
      </c>
    </row>
    <row r="29" spans="1:6" x14ac:dyDescent="0.3">
      <c r="A29" t="s">
        <v>40</v>
      </c>
      <c r="C29" s="2">
        <v>482045</v>
      </c>
      <c r="D29" s="2">
        <v>444693</v>
      </c>
      <c r="E29" s="6" t="s">
        <v>48</v>
      </c>
      <c r="F29" s="6" t="s">
        <v>48</v>
      </c>
    </row>
    <row r="30" spans="1:6" x14ac:dyDescent="0.3">
      <c r="A30" t="s">
        <v>41</v>
      </c>
      <c r="C30" s="2">
        <v>4029885</v>
      </c>
      <c r="D30" s="2">
        <v>5311555</v>
      </c>
      <c r="E30" s="2">
        <v>6469402</v>
      </c>
      <c r="F30" s="2">
        <v>7439862</v>
      </c>
    </row>
    <row r="31" spans="1:6" x14ac:dyDescent="0.3">
      <c r="A31" t="s">
        <v>42</v>
      </c>
      <c r="C31" s="2">
        <v>1198802</v>
      </c>
      <c r="D31" s="2">
        <v>805386</v>
      </c>
      <c r="E31" s="6" t="s">
        <v>48</v>
      </c>
      <c r="F31" s="6" t="s">
        <v>48</v>
      </c>
    </row>
    <row r="32" spans="1:6" s="1" customFormat="1" x14ac:dyDescent="0.3">
      <c r="A32" s="1" t="s">
        <v>43</v>
      </c>
      <c r="C32" s="3">
        <v>94953137</v>
      </c>
      <c r="D32" s="3">
        <v>204359541</v>
      </c>
      <c r="E32" s="3">
        <v>180526344</v>
      </c>
      <c r="F32" s="3">
        <v>167448442</v>
      </c>
    </row>
    <row r="33" spans="1:6" s="1" customFormat="1" x14ac:dyDescent="0.3">
      <c r="A33" s="1" t="s">
        <v>44</v>
      </c>
      <c r="C33" s="3">
        <v>1959669259</v>
      </c>
      <c r="D33" s="3">
        <v>2024280521</v>
      </c>
      <c r="E33" s="3">
        <v>1645015993</v>
      </c>
      <c r="F33" s="3">
        <v>1530151943</v>
      </c>
    </row>
    <row r="34" spans="1:6" x14ac:dyDescent="0.3">
      <c r="A34" t="s">
        <v>74</v>
      </c>
      <c r="C34" s="2">
        <v>21.02</v>
      </c>
      <c r="D34" s="2">
        <v>24.52</v>
      </c>
      <c r="E34">
        <v>34.450000000000003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543F-BFE2-4804-8359-504944E23477}">
  <dimension ref="A1:I34"/>
  <sheetViews>
    <sheetView topLeftCell="A2" zoomScale="73" zoomScaleNormal="80" workbookViewId="0">
      <selection sqref="A1:H1"/>
    </sheetView>
  </sheetViews>
  <sheetFormatPr defaultColWidth="11.19921875" defaultRowHeight="15.6" x14ac:dyDescent="0.3"/>
  <cols>
    <col min="1" max="1" width="101.59765625" customWidth="1"/>
    <col min="2" max="2" width="16.69921875" customWidth="1"/>
    <col min="3" max="3" width="15.8984375" customWidth="1"/>
    <col min="4" max="4" width="16.19921875" customWidth="1"/>
    <col min="5" max="5" width="15.296875" customWidth="1"/>
    <col min="6" max="6" width="16.09765625" customWidth="1"/>
    <col min="7" max="7" width="16.296875" customWidth="1"/>
    <col min="8" max="8" width="16.796875" customWidth="1"/>
    <col min="9" max="9" width="14.296875" customWidth="1"/>
  </cols>
  <sheetData>
    <row r="1" spans="1:9" ht="18" hidden="1" x14ac:dyDescent="0.35">
      <c r="A1" s="13" t="s">
        <v>86</v>
      </c>
      <c r="B1" s="14"/>
      <c r="C1" s="14"/>
      <c r="D1" s="14"/>
      <c r="E1" s="14"/>
      <c r="F1" s="14"/>
      <c r="G1" s="14"/>
      <c r="H1" s="14"/>
    </row>
    <row r="4" spans="1:9" s="1" customFormat="1" x14ac:dyDescent="0.3">
      <c r="A4" s="1" t="s">
        <v>46</v>
      </c>
      <c r="B4" s="1">
        <v>2022</v>
      </c>
      <c r="C4" s="1" t="s">
        <v>81</v>
      </c>
      <c r="D4" s="1">
        <v>2021</v>
      </c>
      <c r="E4" s="1" t="s">
        <v>82</v>
      </c>
      <c r="F4" s="1">
        <v>2020</v>
      </c>
      <c r="G4" s="1" t="s">
        <v>82</v>
      </c>
      <c r="H4" s="1">
        <v>2019</v>
      </c>
      <c r="I4" s="1" t="s">
        <v>82</v>
      </c>
    </row>
    <row r="5" spans="1:9" x14ac:dyDescent="0.3">
      <c r="A5" t="s">
        <v>16</v>
      </c>
      <c r="B5" s="2">
        <v>884774242</v>
      </c>
      <c r="C5" s="5">
        <f>B5/$B$15</f>
        <v>0.45149161672898397</v>
      </c>
      <c r="D5" s="2">
        <v>805223543</v>
      </c>
      <c r="E5" s="5">
        <f>D5/$D$15</f>
        <v>0.39778258726820009</v>
      </c>
      <c r="F5" s="2">
        <v>747219293</v>
      </c>
      <c r="G5" s="5">
        <f>F5/$F$15</f>
        <v>0.45423223614823544</v>
      </c>
      <c r="H5" s="2">
        <v>694573079</v>
      </c>
      <c r="I5" s="5">
        <f>H5/$H$15</f>
        <v>0.45392425384777624</v>
      </c>
    </row>
    <row r="6" spans="1:9" x14ac:dyDescent="0.3">
      <c r="A6" t="s">
        <v>17</v>
      </c>
      <c r="B6" s="2">
        <v>1304962</v>
      </c>
      <c r="C6" s="5">
        <f t="shared" ref="C6:C33" si="0">B6/$B$15</f>
        <v>6.6590930791347381E-4</v>
      </c>
      <c r="D6" s="2">
        <v>1444041</v>
      </c>
      <c r="E6" s="5">
        <f t="shared" ref="E6:E33" si="1">D6/$D$15</f>
        <v>7.1336012228514643E-4</v>
      </c>
      <c r="F6" s="6" t="s">
        <v>48</v>
      </c>
      <c r="G6" s="10" t="s">
        <v>48</v>
      </c>
      <c r="H6" s="6" t="s">
        <v>48</v>
      </c>
      <c r="I6" s="10" t="s">
        <v>48</v>
      </c>
    </row>
    <row r="7" spans="1:9" x14ac:dyDescent="0.3">
      <c r="A7" t="s">
        <v>18</v>
      </c>
      <c r="B7" s="2">
        <v>192689219</v>
      </c>
      <c r="C7" s="5">
        <f t="shared" si="0"/>
        <v>9.8327418320746332E-2</v>
      </c>
      <c r="D7" s="2">
        <v>221209585</v>
      </c>
      <c r="E7" s="5">
        <f t="shared" si="1"/>
        <v>0.10927812756441577</v>
      </c>
      <c r="F7" s="2">
        <v>186376004</v>
      </c>
      <c r="G7" s="5">
        <f t="shared" ref="G7:G33" si="2">F7/$F$15</f>
        <v>0.11329738117628137</v>
      </c>
      <c r="H7" s="2">
        <v>178434246</v>
      </c>
      <c r="I7" s="5">
        <f t="shared" ref="I7:I21" si="3">H7/$H$15</f>
        <v>0.11661210954656155</v>
      </c>
    </row>
    <row r="8" spans="1:9" x14ac:dyDescent="0.3">
      <c r="A8" t="s">
        <v>19</v>
      </c>
      <c r="B8" s="2">
        <v>18208086</v>
      </c>
      <c r="C8" s="5">
        <f t="shared" si="0"/>
        <v>9.2914076782994529E-3</v>
      </c>
      <c r="D8" s="2">
        <v>11740030</v>
      </c>
      <c r="E8" s="5">
        <f t="shared" si="1"/>
        <v>5.7996062690957445E-3</v>
      </c>
      <c r="F8" s="2">
        <v>23948085</v>
      </c>
      <c r="G8" s="5">
        <f t="shared" si="2"/>
        <v>1.4557964847701027E-2</v>
      </c>
      <c r="H8" s="2">
        <v>17786355</v>
      </c>
      <c r="I8" s="5">
        <f t="shared" si="3"/>
        <v>1.1623914266401712E-2</v>
      </c>
    </row>
    <row r="9" spans="1:9" s="1" customFormat="1" x14ac:dyDescent="0.3">
      <c r="A9" s="1" t="s">
        <v>20</v>
      </c>
      <c r="B9" s="3">
        <v>1096976509</v>
      </c>
      <c r="C9" s="5">
        <f t="shared" si="0"/>
        <v>0.55977635203594323</v>
      </c>
      <c r="D9" s="3">
        <v>1039617199</v>
      </c>
      <c r="E9" s="5">
        <f t="shared" si="1"/>
        <v>0.51357368122399671</v>
      </c>
      <c r="F9" s="3">
        <v>957543382</v>
      </c>
      <c r="G9" s="5">
        <f t="shared" si="2"/>
        <v>0.58208758217221779</v>
      </c>
      <c r="H9" s="3">
        <v>890793680</v>
      </c>
      <c r="I9" s="5">
        <f t="shared" si="3"/>
        <v>0.58216027766073952</v>
      </c>
    </row>
    <row r="10" spans="1:9" x14ac:dyDescent="0.3">
      <c r="A10" t="s">
        <v>21</v>
      </c>
      <c r="B10" s="2">
        <v>357081053</v>
      </c>
      <c r="C10" s="5">
        <f t="shared" si="0"/>
        <v>0.18221495865185688</v>
      </c>
      <c r="D10" s="2">
        <v>382727968</v>
      </c>
      <c r="E10" s="5">
        <f t="shared" si="1"/>
        <v>0.18906864144053087</v>
      </c>
      <c r="F10" s="2">
        <v>379297787</v>
      </c>
      <c r="G10" s="5">
        <f t="shared" si="2"/>
        <v>0.23057392062692245</v>
      </c>
      <c r="H10" s="2">
        <v>333405588</v>
      </c>
      <c r="I10" s="5">
        <f t="shared" si="3"/>
        <v>0.21789051049814601</v>
      </c>
    </row>
    <row r="11" spans="1:9" x14ac:dyDescent="0.3">
      <c r="A11" t="s">
        <v>22</v>
      </c>
      <c r="B11" s="2">
        <v>169136365</v>
      </c>
      <c r="C11" s="5">
        <f t="shared" si="0"/>
        <v>8.630862796016335E-2</v>
      </c>
      <c r="D11" s="2">
        <v>175419813</v>
      </c>
      <c r="E11" s="5">
        <f t="shared" si="1"/>
        <v>8.6657857535151372E-2</v>
      </c>
      <c r="F11" s="2">
        <v>172049846</v>
      </c>
      <c r="G11" s="5">
        <f t="shared" si="2"/>
        <v>0.10458855520683075</v>
      </c>
      <c r="H11" s="2">
        <v>186702573</v>
      </c>
      <c r="I11" s="5">
        <f t="shared" si="3"/>
        <v>0.12201570821388684</v>
      </c>
    </row>
    <row r="12" spans="1:9" x14ac:dyDescent="0.3">
      <c r="A12" t="s">
        <v>23</v>
      </c>
      <c r="B12" s="2">
        <v>185473547</v>
      </c>
      <c r="C12" s="5">
        <f t="shared" si="0"/>
        <v>9.4645331679410707E-2</v>
      </c>
      <c r="D12" s="2">
        <v>134271647</v>
      </c>
      <c r="E12" s="5">
        <f t="shared" si="1"/>
        <v>6.6330553303782944E-2</v>
      </c>
      <c r="F12" s="2">
        <v>126776065</v>
      </c>
      <c r="G12" s="5">
        <f t="shared" si="2"/>
        <v>7.7066767459688768E-2</v>
      </c>
      <c r="H12" s="2">
        <v>100947242</v>
      </c>
      <c r="I12" s="5">
        <f t="shared" si="3"/>
        <v>6.5972037915452947E-2</v>
      </c>
    </row>
    <row r="13" spans="1:9" x14ac:dyDescent="0.3">
      <c r="A13" t="s">
        <v>24</v>
      </c>
      <c r="B13" s="2">
        <v>151001785</v>
      </c>
      <c r="C13" s="5">
        <f t="shared" si="0"/>
        <v>7.7054729672625846E-2</v>
      </c>
      <c r="D13" s="2">
        <v>292243893</v>
      </c>
      <c r="E13" s="5">
        <f t="shared" si="1"/>
        <v>0.14436926600253541</v>
      </c>
      <c r="F13" s="2">
        <v>9348913</v>
      </c>
      <c r="G13" s="5">
        <f t="shared" si="2"/>
        <v>5.6831745343402266E-3</v>
      </c>
      <c r="H13" s="2">
        <v>18302860</v>
      </c>
      <c r="I13" s="5">
        <f t="shared" si="3"/>
        <v>1.1961465711774743E-2</v>
      </c>
    </row>
    <row r="14" spans="1:9" s="1" customFormat="1" x14ac:dyDescent="0.3">
      <c r="A14" s="1" t="s">
        <v>25</v>
      </c>
      <c r="B14" s="3">
        <v>862692750</v>
      </c>
      <c r="C14" s="5">
        <f t="shared" si="0"/>
        <v>0.44022364796405677</v>
      </c>
      <c r="D14" s="3">
        <v>984663321</v>
      </c>
      <c r="E14" s="5">
        <f t="shared" si="1"/>
        <v>0.48642631828200061</v>
      </c>
      <c r="F14" s="3">
        <v>687472611</v>
      </c>
      <c r="G14" s="5">
        <f t="shared" si="2"/>
        <v>0.41791241782778216</v>
      </c>
      <c r="H14" s="3">
        <v>639358263</v>
      </c>
      <c r="I14" s="5">
        <f t="shared" si="3"/>
        <v>0.41783972233926053</v>
      </c>
    </row>
    <row r="15" spans="1:9" s="1" customFormat="1" x14ac:dyDescent="0.3">
      <c r="A15" s="1" t="s">
        <v>26</v>
      </c>
      <c r="B15" s="3">
        <v>1959669259</v>
      </c>
      <c r="C15" s="5">
        <f t="shared" si="0"/>
        <v>1</v>
      </c>
      <c r="D15" s="3">
        <v>2024280521</v>
      </c>
      <c r="E15" s="5">
        <f t="shared" si="1"/>
        <v>1</v>
      </c>
      <c r="F15" s="3">
        <v>1645015993</v>
      </c>
      <c r="G15" s="5">
        <f t="shared" si="2"/>
        <v>1</v>
      </c>
      <c r="H15" s="3">
        <v>1530151943</v>
      </c>
      <c r="I15" s="5">
        <f t="shared" si="3"/>
        <v>1</v>
      </c>
    </row>
    <row r="16" spans="1:9" x14ac:dyDescent="0.3">
      <c r="A16" t="s">
        <v>27</v>
      </c>
      <c r="B16" s="2">
        <v>1026000000</v>
      </c>
      <c r="C16" s="5">
        <f t="shared" si="0"/>
        <v>0.52355773571891295</v>
      </c>
      <c r="D16" s="2">
        <v>1026000000</v>
      </c>
      <c r="E16" s="5">
        <f t="shared" si="1"/>
        <v>0.50684674844035615</v>
      </c>
      <c r="F16" s="2">
        <v>650000000</v>
      </c>
      <c r="G16" s="5">
        <f t="shared" si="2"/>
        <v>0.39513293655862958</v>
      </c>
      <c r="H16" s="2">
        <v>650000000</v>
      </c>
      <c r="I16" s="5">
        <f t="shared" si="3"/>
        <v>0.42479441533473911</v>
      </c>
    </row>
    <row r="17" spans="1:9" x14ac:dyDescent="0.3">
      <c r="A17" t="s">
        <v>28</v>
      </c>
      <c r="B17" s="2">
        <v>742298212</v>
      </c>
      <c r="C17" s="5">
        <f t="shared" si="0"/>
        <v>0.37878749620167412</v>
      </c>
      <c r="D17" s="2">
        <v>722076338</v>
      </c>
      <c r="E17" s="5">
        <f t="shared" si="1"/>
        <v>0.35670764526415161</v>
      </c>
      <c r="F17" s="2">
        <v>729751773</v>
      </c>
      <c r="G17" s="5">
        <f t="shared" si="2"/>
        <v>0.44361378619131758</v>
      </c>
      <c r="H17" s="2">
        <v>637477371</v>
      </c>
      <c r="I17" s="5">
        <f t="shared" si="3"/>
        <v>0.4166105032354947</v>
      </c>
    </row>
    <row r="18" spans="1:9" s="1" customFormat="1" x14ac:dyDescent="0.3">
      <c r="A18" s="1" t="s">
        <v>29</v>
      </c>
      <c r="B18" s="3">
        <v>1768298212</v>
      </c>
      <c r="C18" s="5">
        <f t="shared" si="0"/>
        <v>0.90234523192058702</v>
      </c>
      <c r="D18" s="3">
        <v>1748076338</v>
      </c>
      <c r="E18" s="5">
        <f t="shared" si="1"/>
        <v>0.86355439370450771</v>
      </c>
      <c r="F18" s="3">
        <v>1379751773</v>
      </c>
      <c r="G18" s="5">
        <f t="shared" si="2"/>
        <v>0.8387467227499471</v>
      </c>
      <c r="H18" s="3">
        <v>1287477371</v>
      </c>
      <c r="I18" s="5">
        <f t="shared" si="3"/>
        <v>0.84140491857023381</v>
      </c>
    </row>
    <row r="19" spans="1:9" s="1" customFormat="1" x14ac:dyDescent="0.3">
      <c r="A19" s="1" t="s">
        <v>30</v>
      </c>
      <c r="B19" s="3">
        <v>1768298212</v>
      </c>
      <c r="C19" s="5">
        <f t="shared" si="0"/>
        <v>0.90234523192058702</v>
      </c>
      <c r="D19" s="3">
        <v>1748076338</v>
      </c>
      <c r="E19" s="5">
        <f t="shared" si="1"/>
        <v>0.86355439370450771</v>
      </c>
      <c r="F19" s="3">
        <v>1379751773</v>
      </c>
      <c r="G19" s="5">
        <f t="shared" si="2"/>
        <v>0.8387467227499471</v>
      </c>
      <c r="H19" s="3">
        <v>1287477371</v>
      </c>
      <c r="I19" s="5">
        <f t="shared" si="3"/>
        <v>0.84140491857023381</v>
      </c>
    </row>
    <row r="20" spans="1:9" x14ac:dyDescent="0.3">
      <c r="A20" t="s">
        <v>31</v>
      </c>
      <c r="B20" s="2">
        <v>24336755</v>
      </c>
      <c r="C20" s="5">
        <f t="shared" si="0"/>
        <v>1.2418807351409293E-2</v>
      </c>
      <c r="D20" s="2">
        <v>14641124</v>
      </c>
      <c r="E20" s="5">
        <f t="shared" si="1"/>
        <v>7.2327544765224761E-3</v>
      </c>
      <c r="F20" s="2">
        <v>5701578</v>
      </c>
      <c r="G20" s="5">
        <f t="shared" si="2"/>
        <v>3.4659711663970433E-3</v>
      </c>
      <c r="H20" s="2">
        <v>6101302</v>
      </c>
      <c r="I20" s="5">
        <f t="shared" si="3"/>
        <v>3.987383101339499E-3</v>
      </c>
    </row>
    <row r="21" spans="1:9" x14ac:dyDescent="0.3">
      <c r="A21" t="s">
        <v>32</v>
      </c>
      <c r="B21" s="2">
        <v>71550905</v>
      </c>
      <c r="C21" s="5">
        <f t="shared" si="0"/>
        <v>3.6511724961441568E-2</v>
      </c>
      <c r="D21" s="2">
        <v>56194224</v>
      </c>
      <c r="E21" s="5">
        <f t="shared" si="1"/>
        <v>2.7760097188624776E-2</v>
      </c>
      <c r="F21" s="2">
        <v>79036298</v>
      </c>
      <c r="G21" s="5">
        <f t="shared" si="2"/>
        <v>4.8045914651481447E-2</v>
      </c>
      <c r="H21" s="2">
        <v>69124828</v>
      </c>
      <c r="I21" s="5">
        <f t="shared" si="3"/>
        <v>4.5175139839037544E-2</v>
      </c>
    </row>
    <row r="22" spans="1:9" x14ac:dyDescent="0.3">
      <c r="A22" t="s">
        <v>33</v>
      </c>
      <c r="B22" s="2">
        <v>530250</v>
      </c>
      <c r="C22" s="5">
        <f t="shared" si="0"/>
        <v>2.7058137365005224E-4</v>
      </c>
      <c r="D22" s="2">
        <v>1009295</v>
      </c>
      <c r="E22" s="5">
        <f t="shared" si="1"/>
        <v>4.9859443369113963E-4</v>
      </c>
      <c r="F22" s="6" t="s">
        <v>48</v>
      </c>
      <c r="G22" s="10" t="s">
        <v>48</v>
      </c>
      <c r="H22" s="6" t="s">
        <v>48</v>
      </c>
      <c r="I22" s="10" t="s">
        <v>48</v>
      </c>
    </row>
    <row r="23" spans="1:9" s="1" customFormat="1" x14ac:dyDescent="0.3">
      <c r="A23" s="1" t="s">
        <v>34</v>
      </c>
      <c r="B23" s="3">
        <v>96417910</v>
      </c>
      <c r="C23" s="5">
        <f t="shared" si="0"/>
        <v>4.9201113686500909E-2</v>
      </c>
      <c r="D23" s="3">
        <v>71844643</v>
      </c>
      <c r="E23" s="5">
        <f t="shared" si="1"/>
        <v>3.5491446098838392E-2</v>
      </c>
      <c r="F23" s="3">
        <v>84737876</v>
      </c>
      <c r="G23" s="5">
        <f t="shared" si="2"/>
        <v>5.1511885817878487E-2</v>
      </c>
      <c r="H23" s="3">
        <v>75226130</v>
      </c>
      <c r="I23" s="5">
        <f>H23/$H$15</f>
        <v>4.916252294037704E-2</v>
      </c>
    </row>
    <row r="24" spans="1:9" x14ac:dyDescent="0.3">
      <c r="A24" t="s">
        <v>35</v>
      </c>
      <c r="B24" s="2">
        <v>20754512</v>
      </c>
      <c r="C24" s="5">
        <f t="shared" si="0"/>
        <v>1.0590823887593574E-2</v>
      </c>
      <c r="D24" s="2">
        <v>19567570</v>
      </c>
      <c r="E24" s="5">
        <f t="shared" si="1"/>
        <v>9.6664319974454765E-3</v>
      </c>
      <c r="F24" s="2">
        <v>26254870</v>
      </c>
      <c r="G24" s="5">
        <f t="shared" si="2"/>
        <v>1.5960252126253949E-2</v>
      </c>
      <c r="H24" s="2">
        <v>39469462</v>
      </c>
      <c r="I24" s="5">
        <f>H24/$H$15</f>
        <v>2.5794472359794925E-2</v>
      </c>
    </row>
    <row r="25" spans="1:9" x14ac:dyDescent="0.3">
      <c r="A25" t="s">
        <v>36</v>
      </c>
      <c r="B25" s="2">
        <v>2757081</v>
      </c>
      <c r="C25" s="5">
        <f t="shared" si="0"/>
        <v>1.4069113894284954E-3</v>
      </c>
      <c r="D25" s="2">
        <v>3273356</v>
      </c>
      <c r="E25" s="5">
        <f t="shared" si="1"/>
        <v>1.6170466326391134E-3</v>
      </c>
      <c r="F25" s="2">
        <v>2678504</v>
      </c>
      <c r="G25" s="5">
        <f t="shared" si="2"/>
        <v>1.6282540786215932E-3</v>
      </c>
      <c r="H25" s="2">
        <v>2844973</v>
      </c>
      <c r="I25" s="5">
        <f t="shared" ref="I25:I33" si="4">H25/$H$15</f>
        <v>1.8592748341201826E-3</v>
      </c>
    </row>
    <row r="26" spans="1:9" x14ac:dyDescent="0.3">
      <c r="A26" t="s">
        <v>37</v>
      </c>
      <c r="B26" s="2">
        <v>11452591</v>
      </c>
      <c r="C26" s="5">
        <f t="shared" si="0"/>
        <v>5.844144846076804E-3</v>
      </c>
      <c r="D26" s="2">
        <v>7883682</v>
      </c>
      <c r="E26" s="5">
        <f t="shared" si="1"/>
        <v>3.8945600267424594E-3</v>
      </c>
      <c r="F26" s="2">
        <v>3818023</v>
      </c>
      <c r="G26" s="5">
        <f t="shared" si="2"/>
        <v>2.3209640612898283E-3</v>
      </c>
      <c r="H26" s="2">
        <v>6903467</v>
      </c>
      <c r="I26" s="5">
        <f t="shared" si="4"/>
        <v>4.5116218893041004E-3</v>
      </c>
    </row>
    <row r="27" spans="1:9" x14ac:dyDescent="0.3">
      <c r="A27" t="s">
        <v>38</v>
      </c>
      <c r="B27" s="2">
        <v>43008343</v>
      </c>
      <c r="C27" s="5">
        <f t="shared" si="0"/>
        <v>2.1946735553706003E-2</v>
      </c>
      <c r="D27" s="2">
        <v>47930689</v>
      </c>
      <c r="E27" s="5">
        <f t="shared" si="1"/>
        <v>2.3677888762335227E-2</v>
      </c>
      <c r="F27" s="2">
        <v>44335538</v>
      </c>
      <c r="G27" s="5">
        <f t="shared" si="2"/>
        <v>2.6951432805918014E-2</v>
      </c>
      <c r="H27" s="2">
        <v>41022820</v>
      </c>
      <c r="I27" s="5">
        <f t="shared" si="4"/>
        <v>2.6809638211203447E-2</v>
      </c>
    </row>
    <row r="28" spans="1:9" x14ac:dyDescent="0.3">
      <c r="A28" t="s">
        <v>39</v>
      </c>
      <c r="B28" s="2">
        <v>11269878</v>
      </c>
      <c r="C28" s="5">
        <f t="shared" si="0"/>
        <v>5.7509081944526232E-3</v>
      </c>
      <c r="D28" s="2">
        <v>119142610</v>
      </c>
      <c r="E28" s="5">
        <f t="shared" si="1"/>
        <v>5.8856768498243138E-2</v>
      </c>
      <c r="F28" s="2">
        <v>96970007</v>
      </c>
      <c r="G28" s="5">
        <f t="shared" si="2"/>
        <v>5.8947759421570559E-2</v>
      </c>
      <c r="H28" s="2">
        <v>69767858</v>
      </c>
      <c r="I28" s="5">
        <f t="shared" si="4"/>
        <v>4.559537915118015E-2</v>
      </c>
    </row>
    <row r="29" spans="1:9" x14ac:dyDescent="0.3">
      <c r="A29" t="s">
        <v>40</v>
      </c>
      <c r="B29" s="2">
        <v>482045</v>
      </c>
      <c r="C29" s="5">
        <f t="shared" si="0"/>
        <v>2.4598283500450624E-4</v>
      </c>
      <c r="D29" s="2">
        <v>444693</v>
      </c>
      <c r="E29" s="5">
        <f t="shared" si="1"/>
        <v>2.1967953323994861E-4</v>
      </c>
      <c r="F29" s="6" t="s">
        <v>48</v>
      </c>
      <c r="G29" s="10" t="s">
        <v>48</v>
      </c>
      <c r="H29" s="6" t="s">
        <v>48</v>
      </c>
      <c r="I29" s="10" t="s">
        <v>48</v>
      </c>
    </row>
    <row r="30" spans="1:9" x14ac:dyDescent="0.3">
      <c r="A30" t="s">
        <v>41</v>
      </c>
      <c r="B30" s="2">
        <v>4029885</v>
      </c>
      <c r="C30" s="5">
        <f t="shared" si="0"/>
        <v>2.0564107853875357E-3</v>
      </c>
      <c r="D30" s="2">
        <v>5311555</v>
      </c>
      <c r="E30" s="5">
        <f t="shared" si="1"/>
        <v>2.6239223985498202E-3</v>
      </c>
      <c r="F30" s="2">
        <v>6469402</v>
      </c>
      <c r="G30" s="5">
        <f t="shared" si="2"/>
        <v>3.9327289385204175E-3</v>
      </c>
      <c r="H30" s="2">
        <v>7439862</v>
      </c>
      <c r="I30" s="5">
        <f t="shared" si="4"/>
        <v>4.8621720437863735E-3</v>
      </c>
    </row>
    <row r="31" spans="1:9" x14ac:dyDescent="0.3">
      <c r="A31" t="s">
        <v>42</v>
      </c>
      <c r="B31" s="2">
        <v>1198802</v>
      </c>
      <c r="C31" s="5">
        <f t="shared" si="0"/>
        <v>6.1173690126247978E-4</v>
      </c>
      <c r="D31" s="2">
        <v>805386</v>
      </c>
      <c r="E31" s="5">
        <f t="shared" si="1"/>
        <v>3.9786284146138854E-4</v>
      </c>
      <c r="F31" s="6" t="s">
        <v>48</v>
      </c>
      <c r="G31" s="10" t="s">
        <v>48</v>
      </c>
      <c r="H31" s="6" t="s">
        <v>48</v>
      </c>
      <c r="I31" s="10" t="s">
        <v>48</v>
      </c>
    </row>
    <row r="32" spans="1:9" s="1" customFormat="1" x14ac:dyDescent="0.3">
      <c r="A32" s="1" t="s">
        <v>43</v>
      </c>
      <c r="B32" s="3">
        <v>94953137</v>
      </c>
      <c r="C32" s="5">
        <f t="shared" si="0"/>
        <v>4.8453654392912021E-2</v>
      </c>
      <c r="D32" s="3">
        <v>204359541</v>
      </c>
      <c r="E32" s="5">
        <f t="shared" si="1"/>
        <v>0.10095416069065657</v>
      </c>
      <c r="F32" s="3">
        <v>180526344</v>
      </c>
      <c r="G32" s="5">
        <f t="shared" si="2"/>
        <v>0.10974139143217436</v>
      </c>
      <c r="H32" s="3">
        <v>167448442</v>
      </c>
      <c r="I32" s="5">
        <f t="shared" si="4"/>
        <v>0.10943255848938918</v>
      </c>
    </row>
    <row r="33" spans="1:9" s="1" customFormat="1" x14ac:dyDescent="0.3">
      <c r="A33" s="1" t="s">
        <v>44</v>
      </c>
      <c r="B33" s="3">
        <v>1959669259</v>
      </c>
      <c r="C33" s="5">
        <f t="shared" si="0"/>
        <v>1</v>
      </c>
      <c r="D33" s="3">
        <v>2024280521</v>
      </c>
      <c r="E33" s="5">
        <f t="shared" si="1"/>
        <v>1</v>
      </c>
      <c r="F33" s="3">
        <v>1645015993</v>
      </c>
      <c r="G33" s="5">
        <f t="shared" si="2"/>
        <v>1</v>
      </c>
      <c r="H33" s="3">
        <v>1530151943</v>
      </c>
      <c r="I33" s="5">
        <f t="shared" si="4"/>
        <v>1</v>
      </c>
    </row>
    <row r="34" spans="1:9" x14ac:dyDescent="0.3">
      <c r="C34" s="2"/>
      <c r="D34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2CC0-8759-4272-A06B-0AAE5171E764}">
  <dimension ref="A1:H37"/>
  <sheetViews>
    <sheetView zoomScale="70" zoomScaleNormal="70" workbookViewId="0">
      <selection sqref="A1:H1"/>
    </sheetView>
  </sheetViews>
  <sheetFormatPr defaultColWidth="11.19921875" defaultRowHeight="15.6" x14ac:dyDescent="0.3"/>
  <cols>
    <col min="1" max="1" width="110.69921875" customWidth="1"/>
    <col min="2" max="2" width="21.296875" customWidth="1"/>
    <col min="3" max="3" width="22.09765625" customWidth="1"/>
    <col min="4" max="5" width="22" customWidth="1"/>
    <col min="6" max="6" width="21.296875" customWidth="1"/>
    <col min="7" max="7" width="22.5" customWidth="1"/>
    <col min="8" max="8" width="23.5" customWidth="1"/>
  </cols>
  <sheetData>
    <row r="1" spans="1:8" ht="18" x14ac:dyDescent="0.35">
      <c r="A1" s="13" t="s">
        <v>85</v>
      </c>
      <c r="B1" s="14"/>
      <c r="C1" s="14"/>
      <c r="D1" s="14"/>
      <c r="E1" s="14"/>
      <c r="F1" s="14"/>
      <c r="G1" s="14"/>
      <c r="H1" s="14"/>
    </row>
    <row r="4" spans="1:8" s="1" customFormat="1" x14ac:dyDescent="0.3">
      <c r="A4" s="1" t="s">
        <v>46</v>
      </c>
      <c r="B4" s="1">
        <v>2022</v>
      </c>
      <c r="C4" s="1" t="s">
        <v>75</v>
      </c>
      <c r="D4" s="1">
        <v>2021</v>
      </c>
      <c r="E4" s="1" t="s">
        <v>75</v>
      </c>
      <c r="F4" s="1">
        <v>2020</v>
      </c>
      <c r="G4" s="1" t="s">
        <v>75</v>
      </c>
      <c r="H4" s="1">
        <v>2019</v>
      </c>
    </row>
    <row r="5" spans="1:8" x14ac:dyDescent="0.3">
      <c r="A5" t="s">
        <v>16</v>
      </c>
      <c r="B5" s="2">
        <v>884774242</v>
      </c>
      <c r="C5" s="5">
        <f>(B5-D5)/D5</f>
        <v>9.8793309872212715E-2</v>
      </c>
      <c r="D5" s="2">
        <v>805223543</v>
      </c>
      <c r="E5" s="8">
        <f>(D5-F5)/F5</f>
        <v>7.7626809884845951E-2</v>
      </c>
      <c r="F5" s="2">
        <v>747219293</v>
      </c>
      <c r="G5" s="8">
        <f>(F5-H5)/H5</f>
        <v>7.579650808781202E-2</v>
      </c>
      <c r="H5" s="2">
        <v>694573079</v>
      </c>
    </row>
    <row r="6" spans="1:8" x14ac:dyDescent="0.3">
      <c r="A6" t="s">
        <v>17</v>
      </c>
      <c r="B6" s="2">
        <v>1304962</v>
      </c>
      <c r="C6" s="5">
        <f t="shared" ref="C6:C33" si="0">(B6-D6)/D6</f>
        <v>-9.6312362322122438E-2</v>
      </c>
      <c r="D6" s="2">
        <v>1444041</v>
      </c>
      <c r="E6" s="11" t="s">
        <v>48</v>
      </c>
      <c r="F6" s="6" t="s">
        <v>48</v>
      </c>
      <c r="G6" s="11" t="s">
        <v>48</v>
      </c>
      <c r="H6" s="6" t="s">
        <v>48</v>
      </c>
    </row>
    <row r="7" spans="1:8" x14ac:dyDescent="0.3">
      <c r="A7" t="s">
        <v>18</v>
      </c>
      <c r="B7" s="2">
        <v>192689219</v>
      </c>
      <c r="C7" s="5">
        <f t="shared" si="0"/>
        <v>-0.12892916009945951</v>
      </c>
      <c r="D7" s="2">
        <v>221209585</v>
      </c>
      <c r="E7" s="8">
        <f t="shared" ref="E7:E33" si="1">(D7-F7)/F7</f>
        <v>0.18689949485127924</v>
      </c>
      <c r="F7" s="2">
        <v>186376004</v>
      </c>
      <c r="G7" s="8">
        <f t="shared" ref="G7:G28" si="2">(F7-H7)/H7</f>
        <v>4.4508036870904252E-2</v>
      </c>
      <c r="H7" s="2">
        <v>178434246</v>
      </c>
    </row>
    <row r="8" spans="1:8" x14ac:dyDescent="0.3">
      <c r="A8" t="s">
        <v>19</v>
      </c>
      <c r="B8" s="2">
        <v>18208086</v>
      </c>
      <c r="C8" s="5">
        <f t="shared" si="0"/>
        <v>0.55094032979472796</v>
      </c>
      <c r="D8" s="2">
        <v>11740030</v>
      </c>
      <c r="E8" s="8">
        <f t="shared" si="1"/>
        <v>-0.50977165815137204</v>
      </c>
      <c r="F8" s="2">
        <v>23948085</v>
      </c>
      <c r="G8" s="8">
        <f t="shared" si="2"/>
        <v>0.34643017076854699</v>
      </c>
      <c r="H8" s="2">
        <v>17786355</v>
      </c>
    </row>
    <row r="9" spans="1:8" s="1" customFormat="1" x14ac:dyDescent="0.3">
      <c r="A9" s="1" t="s">
        <v>20</v>
      </c>
      <c r="B9" s="3">
        <v>1096976509</v>
      </c>
      <c r="C9" s="5">
        <f t="shared" si="0"/>
        <v>5.5173490834100752E-2</v>
      </c>
      <c r="D9" s="3">
        <v>1039617199</v>
      </c>
      <c r="E9" s="8">
        <f t="shared" si="1"/>
        <v>8.5712896713435793E-2</v>
      </c>
      <c r="F9" s="3">
        <v>957543382</v>
      </c>
      <c r="G9" s="8">
        <f t="shared" si="2"/>
        <v>7.4932841912394355E-2</v>
      </c>
      <c r="H9" s="3">
        <v>890793680</v>
      </c>
    </row>
    <row r="10" spans="1:8" x14ac:dyDescent="0.3">
      <c r="A10" t="s">
        <v>76</v>
      </c>
      <c r="B10" s="2">
        <v>357081053</v>
      </c>
      <c r="C10" s="5">
        <f t="shared" si="0"/>
        <v>-6.7010820071555371E-2</v>
      </c>
      <c r="D10" s="2">
        <v>382727968</v>
      </c>
      <c r="E10" s="8">
        <f t="shared" si="1"/>
        <v>9.0435038578276748E-3</v>
      </c>
      <c r="F10" s="2">
        <v>379297787</v>
      </c>
      <c r="G10" s="8">
        <f t="shared" si="2"/>
        <v>0.13764676013768551</v>
      </c>
      <c r="H10" s="2">
        <v>333405588</v>
      </c>
    </row>
    <row r="11" spans="1:8" x14ac:dyDescent="0.3">
      <c r="A11" t="s">
        <v>22</v>
      </c>
      <c r="B11" s="2">
        <v>169136365</v>
      </c>
      <c r="C11" s="5">
        <f t="shared" si="0"/>
        <v>-3.5819488645789405E-2</v>
      </c>
      <c r="D11" s="2">
        <v>175419813</v>
      </c>
      <c r="E11" s="8">
        <f t="shared" si="1"/>
        <v>1.9587154992280552E-2</v>
      </c>
      <c r="F11" s="2">
        <v>172049846</v>
      </c>
      <c r="G11" s="8">
        <f t="shared" si="2"/>
        <v>-7.848165541885703E-2</v>
      </c>
      <c r="H11" s="2">
        <v>186702573</v>
      </c>
    </row>
    <row r="12" spans="1:8" x14ac:dyDescent="0.3">
      <c r="A12" t="s">
        <v>23</v>
      </c>
      <c r="B12" s="2">
        <v>185473547</v>
      </c>
      <c r="C12" s="5">
        <f t="shared" si="0"/>
        <v>0.38133069150481186</v>
      </c>
      <c r="D12" s="2">
        <v>134271647</v>
      </c>
      <c r="E12" s="8">
        <f t="shared" si="1"/>
        <v>5.91245831774318E-2</v>
      </c>
      <c r="F12" s="2">
        <v>126776065</v>
      </c>
      <c r="G12" s="8">
        <f t="shared" si="2"/>
        <v>0.25586457329859491</v>
      </c>
      <c r="H12" s="2">
        <v>100947242</v>
      </c>
    </row>
    <row r="13" spans="1:8" x14ac:dyDescent="0.3">
      <c r="A13" t="s">
        <v>24</v>
      </c>
      <c r="B13" s="2">
        <v>151001785</v>
      </c>
      <c r="C13" s="5">
        <f t="shared" si="0"/>
        <v>-0.48330217117659324</v>
      </c>
      <c r="D13" s="2">
        <v>292243893</v>
      </c>
      <c r="E13" s="8">
        <f t="shared" si="1"/>
        <v>30.259665481965659</v>
      </c>
      <c r="F13" s="2">
        <v>9348913</v>
      </c>
      <c r="G13" s="8">
        <f t="shared" si="2"/>
        <v>-0.48921026549949026</v>
      </c>
      <c r="H13" s="2">
        <v>18302860</v>
      </c>
    </row>
    <row r="14" spans="1:8" s="1" customFormat="1" x14ac:dyDescent="0.3">
      <c r="A14" s="1" t="s">
        <v>25</v>
      </c>
      <c r="B14" s="3">
        <v>862692750</v>
      </c>
      <c r="C14" s="5">
        <f t="shared" si="0"/>
        <v>-0.12387033049644794</v>
      </c>
      <c r="D14" s="3">
        <v>984663321</v>
      </c>
      <c r="E14" s="8">
        <f t="shared" si="1"/>
        <v>0.43229461835243937</v>
      </c>
      <c r="F14" s="3">
        <v>687472611</v>
      </c>
      <c r="G14" s="8">
        <f t="shared" si="2"/>
        <v>7.5254127121525918E-2</v>
      </c>
      <c r="H14" s="3">
        <v>639358263</v>
      </c>
    </row>
    <row r="15" spans="1:8" s="1" customFormat="1" x14ac:dyDescent="0.3">
      <c r="A15" s="1" t="s">
        <v>26</v>
      </c>
      <c r="B15" s="3">
        <v>1959669259</v>
      </c>
      <c r="C15" s="5">
        <f t="shared" si="0"/>
        <v>-3.1918136508116902E-2</v>
      </c>
      <c r="D15" s="3">
        <v>2024280521</v>
      </c>
      <c r="E15" s="8">
        <f t="shared" si="1"/>
        <v>0.23055370258640398</v>
      </c>
      <c r="F15" s="3">
        <v>1645015993</v>
      </c>
      <c r="G15" s="8">
        <f t="shared" si="2"/>
        <v>7.5067087634969595E-2</v>
      </c>
      <c r="H15" s="3">
        <v>1530151943</v>
      </c>
    </row>
    <row r="16" spans="1:8" x14ac:dyDescent="0.3">
      <c r="A16" t="s">
        <v>27</v>
      </c>
      <c r="B16" s="2">
        <v>1026000000</v>
      </c>
      <c r="C16" s="5">
        <f t="shared" si="0"/>
        <v>0</v>
      </c>
      <c r="D16" s="2">
        <v>1026000000</v>
      </c>
      <c r="E16" s="8">
        <f t="shared" si="1"/>
        <v>0.57846153846153847</v>
      </c>
      <c r="F16" s="2">
        <v>650000000</v>
      </c>
      <c r="G16" s="8">
        <f t="shared" si="2"/>
        <v>0</v>
      </c>
      <c r="H16" s="2">
        <v>650000000</v>
      </c>
    </row>
    <row r="17" spans="1:8" x14ac:dyDescent="0.3">
      <c r="A17" t="s">
        <v>28</v>
      </c>
      <c r="B17" s="2">
        <v>742298212</v>
      </c>
      <c r="C17" s="5">
        <f t="shared" si="0"/>
        <v>2.8005174710488853E-2</v>
      </c>
      <c r="D17" s="2">
        <v>722076338</v>
      </c>
      <c r="E17" s="8">
        <f t="shared" si="1"/>
        <v>-1.051787098570023E-2</v>
      </c>
      <c r="F17" s="2">
        <v>729751773</v>
      </c>
      <c r="G17" s="8">
        <f t="shared" si="2"/>
        <v>0.14474929808920228</v>
      </c>
      <c r="H17" s="2">
        <v>637477371</v>
      </c>
    </row>
    <row r="18" spans="1:8" s="1" customFormat="1" x14ac:dyDescent="0.3">
      <c r="A18" s="1" t="s">
        <v>29</v>
      </c>
      <c r="B18" s="3">
        <v>1768298212</v>
      </c>
      <c r="C18" s="5">
        <f t="shared" si="0"/>
        <v>1.1568072606678118E-2</v>
      </c>
      <c r="D18" s="3">
        <v>1748076338</v>
      </c>
      <c r="E18" s="8">
        <f t="shared" si="1"/>
        <v>0.26694987620791411</v>
      </c>
      <c r="F18" s="3">
        <v>1379751773</v>
      </c>
      <c r="G18" s="8">
        <f t="shared" si="2"/>
        <v>7.1670698125225529E-2</v>
      </c>
      <c r="H18" s="3">
        <v>1287477371</v>
      </c>
    </row>
    <row r="19" spans="1:8" s="1" customFormat="1" x14ac:dyDescent="0.3">
      <c r="A19" s="1" t="s">
        <v>77</v>
      </c>
      <c r="B19" s="3">
        <v>1768298212</v>
      </c>
      <c r="C19" s="5">
        <f t="shared" si="0"/>
        <v>1.1568072606678118E-2</v>
      </c>
      <c r="D19" s="3">
        <v>1748076338</v>
      </c>
      <c r="E19" s="8">
        <f t="shared" si="1"/>
        <v>0.26694987620791411</v>
      </c>
      <c r="F19" s="3">
        <v>1379751773</v>
      </c>
      <c r="G19" s="8">
        <f t="shared" si="2"/>
        <v>7.1670698125225529E-2</v>
      </c>
      <c r="H19" s="3">
        <v>1287477371</v>
      </c>
    </row>
    <row r="20" spans="1:8" x14ac:dyDescent="0.3">
      <c r="A20" t="s">
        <v>31</v>
      </c>
      <c r="B20" s="2">
        <v>24336755</v>
      </c>
      <c r="C20" s="5">
        <f t="shared" si="0"/>
        <v>0.66221903454953324</v>
      </c>
      <c r="D20" s="2">
        <v>14641124</v>
      </c>
      <c r="E20" s="8">
        <f t="shared" si="1"/>
        <v>1.5679073407397039</v>
      </c>
      <c r="F20" s="2">
        <v>5701578</v>
      </c>
      <c r="G20" s="8">
        <f t="shared" si="2"/>
        <v>-6.5514540994692602E-2</v>
      </c>
      <c r="H20" s="2">
        <v>6101302</v>
      </c>
    </row>
    <row r="21" spans="1:8" x14ac:dyDescent="0.3">
      <c r="A21" t="s">
        <v>32</v>
      </c>
      <c r="B21" s="2">
        <v>71550905</v>
      </c>
      <c r="C21" s="5">
        <f t="shared" si="0"/>
        <v>0.27327863803226465</v>
      </c>
      <c r="D21" s="2">
        <v>56194224</v>
      </c>
      <c r="E21" s="8">
        <f t="shared" si="1"/>
        <v>-0.28900738746645244</v>
      </c>
      <c r="F21" s="2">
        <v>79036298</v>
      </c>
      <c r="G21" s="8">
        <f t="shared" si="2"/>
        <v>0.14338509457122989</v>
      </c>
      <c r="H21" s="2">
        <v>69124828</v>
      </c>
    </row>
    <row r="22" spans="1:8" x14ac:dyDescent="0.3">
      <c r="A22" t="s">
        <v>33</v>
      </c>
      <c r="B22" s="2">
        <v>530250</v>
      </c>
      <c r="C22" s="5">
        <f t="shared" si="0"/>
        <v>-0.47463328362867152</v>
      </c>
      <c r="D22" s="2">
        <v>1009295</v>
      </c>
      <c r="E22" s="11" t="s">
        <v>48</v>
      </c>
      <c r="F22" s="6" t="s">
        <v>48</v>
      </c>
      <c r="G22" s="11" t="s">
        <v>48</v>
      </c>
      <c r="H22" s="6" t="s">
        <v>48</v>
      </c>
    </row>
    <row r="23" spans="1:8" s="1" customFormat="1" x14ac:dyDescent="0.3">
      <c r="A23" s="1" t="s">
        <v>34</v>
      </c>
      <c r="B23" s="3">
        <v>96417910</v>
      </c>
      <c r="C23" s="5">
        <f t="shared" si="0"/>
        <v>0.34203339280285655</v>
      </c>
      <c r="D23" s="3">
        <v>71844643</v>
      </c>
      <c r="E23" s="8">
        <f t="shared" si="1"/>
        <v>-0.15215430936692348</v>
      </c>
      <c r="F23" s="3">
        <v>84737876</v>
      </c>
      <c r="G23" s="8">
        <f t="shared" si="2"/>
        <v>0.12644204879341792</v>
      </c>
      <c r="H23" s="3">
        <v>75226130</v>
      </c>
    </row>
    <row r="24" spans="1:8" x14ac:dyDescent="0.3">
      <c r="A24" t="s">
        <v>35</v>
      </c>
      <c r="B24" s="2">
        <v>20754512</v>
      </c>
      <c r="C24" s="5">
        <f t="shared" si="0"/>
        <v>6.0658630581109457E-2</v>
      </c>
      <c r="D24" s="2">
        <v>19567570</v>
      </c>
      <c r="E24" s="8">
        <f t="shared" si="1"/>
        <v>-0.25470703149549018</v>
      </c>
      <c r="F24" s="2">
        <v>26254870</v>
      </c>
      <c r="G24" s="8">
        <f t="shared" si="2"/>
        <v>-0.33480547568649405</v>
      </c>
      <c r="H24" s="2">
        <v>39469462</v>
      </c>
    </row>
    <row r="25" spans="1:8" x14ac:dyDescent="0.3">
      <c r="A25" t="s">
        <v>36</v>
      </c>
      <c r="B25" s="2">
        <v>2757081</v>
      </c>
      <c r="C25" s="5">
        <f t="shared" si="0"/>
        <v>-0.15772039460419215</v>
      </c>
      <c r="D25" s="2">
        <v>3273356</v>
      </c>
      <c r="E25" s="8">
        <f t="shared" si="1"/>
        <v>0.22208367058626755</v>
      </c>
      <c r="F25" s="2">
        <v>2678504</v>
      </c>
      <c r="G25" s="8">
        <f t="shared" si="2"/>
        <v>-5.8513384837044151E-2</v>
      </c>
      <c r="H25" s="2">
        <v>2844973</v>
      </c>
    </row>
    <row r="26" spans="1:8" x14ac:dyDescent="0.3">
      <c r="A26" t="s">
        <v>78</v>
      </c>
      <c r="B26" s="2">
        <v>11452591</v>
      </c>
      <c r="C26" s="5">
        <f t="shared" si="0"/>
        <v>0.45269570741184134</v>
      </c>
      <c r="D26" s="2">
        <v>7883682</v>
      </c>
      <c r="E26" s="8">
        <f t="shared" si="1"/>
        <v>1.0648597454756035</v>
      </c>
      <c r="F26" s="2">
        <v>3818023</v>
      </c>
      <c r="G26" s="8">
        <f t="shared" si="2"/>
        <v>-0.44694122532924396</v>
      </c>
      <c r="H26" s="2">
        <v>6903467</v>
      </c>
    </row>
    <row r="27" spans="1:8" x14ac:dyDescent="0.3">
      <c r="A27" t="s">
        <v>38</v>
      </c>
      <c r="B27" s="2">
        <v>43008343</v>
      </c>
      <c r="C27" s="5">
        <f t="shared" si="0"/>
        <v>-0.1026971675704474</v>
      </c>
      <c r="D27" s="2">
        <v>47930689</v>
      </c>
      <c r="E27" s="8">
        <f t="shared" si="1"/>
        <v>8.1089599048059374E-2</v>
      </c>
      <c r="F27" s="2">
        <v>44335538</v>
      </c>
      <c r="G27" s="8">
        <f t="shared" si="2"/>
        <v>8.0753054031877866E-2</v>
      </c>
      <c r="H27" s="2">
        <v>41022820</v>
      </c>
    </row>
    <row r="28" spans="1:8" x14ac:dyDescent="0.3">
      <c r="A28" t="s">
        <v>79</v>
      </c>
      <c r="B28" s="2">
        <v>11269878</v>
      </c>
      <c r="C28" s="5">
        <f t="shared" si="0"/>
        <v>-0.90540850162674802</v>
      </c>
      <c r="D28" s="2">
        <v>119142610</v>
      </c>
      <c r="E28" s="8">
        <f t="shared" si="1"/>
        <v>0.22865423738703042</v>
      </c>
      <c r="F28" s="2">
        <v>96970007</v>
      </c>
      <c r="G28" s="8">
        <f t="shared" si="2"/>
        <v>0.38989514340543463</v>
      </c>
      <c r="H28" s="2">
        <v>69767858</v>
      </c>
    </row>
    <row r="29" spans="1:8" x14ac:dyDescent="0.3">
      <c r="A29" t="s">
        <v>40</v>
      </c>
      <c r="B29" s="2">
        <v>482045</v>
      </c>
      <c r="C29" s="5">
        <f t="shared" si="0"/>
        <v>8.3995025781831517E-2</v>
      </c>
      <c r="D29" s="2">
        <v>444693</v>
      </c>
      <c r="E29" s="11" t="s">
        <v>48</v>
      </c>
      <c r="F29" s="6" t="s">
        <v>48</v>
      </c>
      <c r="G29" s="11" t="s">
        <v>48</v>
      </c>
      <c r="H29" s="6" t="s">
        <v>48</v>
      </c>
    </row>
    <row r="30" spans="1:8" x14ac:dyDescent="0.3">
      <c r="A30" t="s">
        <v>41</v>
      </c>
      <c r="B30" s="2">
        <v>4029885</v>
      </c>
      <c r="C30" s="5">
        <f t="shared" si="0"/>
        <v>-0.2412984521481939</v>
      </c>
      <c r="D30" s="2">
        <v>5311555</v>
      </c>
      <c r="E30" s="8">
        <f t="shared" si="1"/>
        <v>-0.17897280150468312</v>
      </c>
      <c r="F30" s="2">
        <v>6469402</v>
      </c>
      <c r="G30" s="8">
        <f>(F30-H30)/H30</f>
        <v>-0.13044059150559514</v>
      </c>
      <c r="H30" s="2">
        <v>7439862</v>
      </c>
    </row>
    <row r="31" spans="1:8" x14ac:dyDescent="0.3">
      <c r="A31" t="s">
        <v>80</v>
      </c>
      <c r="B31" s="2">
        <v>1198802</v>
      </c>
      <c r="C31" s="5">
        <f t="shared" si="0"/>
        <v>0.48848129965010567</v>
      </c>
      <c r="D31" s="2">
        <v>805386</v>
      </c>
      <c r="E31" s="11" t="s">
        <v>48</v>
      </c>
      <c r="F31" s="6" t="s">
        <v>48</v>
      </c>
      <c r="G31" s="11" t="s">
        <v>48</v>
      </c>
      <c r="H31" s="6" t="s">
        <v>48</v>
      </c>
    </row>
    <row r="32" spans="1:8" s="1" customFormat="1" x14ac:dyDescent="0.3">
      <c r="A32" s="1" t="s">
        <v>43</v>
      </c>
      <c r="B32" s="3">
        <v>94953137</v>
      </c>
      <c r="C32" s="5">
        <f t="shared" si="0"/>
        <v>-0.53536234943882555</v>
      </c>
      <c r="D32" s="3">
        <v>204359541</v>
      </c>
      <c r="E32" s="8">
        <f t="shared" si="1"/>
        <v>0.13202060415071609</v>
      </c>
      <c r="F32" s="3">
        <v>180526344</v>
      </c>
      <c r="G32" s="8">
        <f>(F32-H32)/H32</f>
        <v>7.8101067073529415E-2</v>
      </c>
      <c r="H32" s="3">
        <v>167448442</v>
      </c>
    </row>
    <row r="33" spans="1:8" s="1" customFormat="1" x14ac:dyDescent="0.3">
      <c r="A33" s="1" t="s">
        <v>44</v>
      </c>
      <c r="B33" s="3">
        <v>1959669259</v>
      </c>
      <c r="C33" s="5">
        <f t="shared" si="0"/>
        <v>-3.1918136508116902E-2</v>
      </c>
      <c r="D33" s="3">
        <v>2024280521</v>
      </c>
      <c r="E33" s="8">
        <f t="shared" si="1"/>
        <v>0.23055370258640398</v>
      </c>
      <c r="F33" s="3">
        <v>1645015993</v>
      </c>
      <c r="G33" s="8">
        <f t="shared" ref="G33" si="3">(F33-H33)/H33</f>
        <v>7.5067087634969595E-2</v>
      </c>
      <c r="H33" s="3">
        <v>1530151943</v>
      </c>
    </row>
    <row r="34" spans="1:8" x14ac:dyDescent="0.3">
      <c r="B34" s="2"/>
      <c r="C34" s="2"/>
      <c r="D34" s="2"/>
    </row>
    <row r="35" spans="1:8" x14ac:dyDescent="0.3">
      <c r="E35" s="1"/>
      <c r="G35" s="1"/>
    </row>
    <row r="36" spans="1:8" x14ac:dyDescent="0.3">
      <c r="E36" s="1"/>
      <c r="G36" s="1"/>
    </row>
    <row r="37" spans="1:8" x14ac:dyDescent="0.3">
      <c r="G37" s="1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2D2B-9273-3B48-ADCC-20572568D1E1}">
  <dimension ref="A1:F21"/>
  <sheetViews>
    <sheetView zoomScale="68" workbookViewId="0">
      <selection sqref="A1:F1"/>
    </sheetView>
  </sheetViews>
  <sheetFormatPr defaultColWidth="11.19921875" defaultRowHeight="15.6" x14ac:dyDescent="0.3"/>
  <cols>
    <col min="1" max="1" width="53.296875" customWidth="1"/>
    <col min="3" max="3" width="15.796875" customWidth="1"/>
    <col min="4" max="4" width="17.69921875" customWidth="1"/>
    <col min="5" max="5" width="16.296875" customWidth="1"/>
    <col min="6" max="6" width="19.19921875" customWidth="1"/>
  </cols>
  <sheetData>
    <row r="1" spans="1:6" x14ac:dyDescent="0.3">
      <c r="A1" s="15" t="s">
        <v>47</v>
      </c>
      <c r="B1" s="14"/>
      <c r="C1" s="14"/>
      <c r="D1" s="14"/>
      <c r="E1" s="14"/>
      <c r="F1" s="14"/>
    </row>
    <row r="3" spans="1:6" x14ac:dyDescent="0.3">
      <c r="A3" s="1" t="s">
        <v>46</v>
      </c>
      <c r="B3" s="1"/>
      <c r="C3" s="1">
        <v>2022</v>
      </c>
      <c r="D3" s="1">
        <v>2021</v>
      </c>
      <c r="E3" s="1">
        <v>2020</v>
      </c>
      <c r="F3" s="1">
        <v>2019</v>
      </c>
    </row>
    <row r="4" spans="1:6" x14ac:dyDescent="0.3">
      <c r="A4" s="1" t="s">
        <v>45</v>
      </c>
      <c r="B4" s="1"/>
      <c r="C4" s="3">
        <v>449026637</v>
      </c>
      <c r="D4" s="3">
        <v>475081252</v>
      </c>
      <c r="E4" s="3">
        <v>565252592</v>
      </c>
      <c r="F4" s="3">
        <v>631432785</v>
      </c>
    </row>
    <row r="5" spans="1:6" s="1" customFormat="1" x14ac:dyDescent="0.3">
      <c r="A5" t="s">
        <v>0</v>
      </c>
      <c r="B5"/>
      <c r="C5" s="2">
        <v>343462589</v>
      </c>
      <c r="D5" s="2">
        <v>336729098</v>
      </c>
      <c r="E5" s="2">
        <v>397504187</v>
      </c>
      <c r="F5" s="2">
        <v>435660715</v>
      </c>
    </row>
    <row r="6" spans="1:6" s="1" customFormat="1" x14ac:dyDescent="0.3">
      <c r="A6" s="1" t="s">
        <v>1</v>
      </c>
      <c r="C6" s="3">
        <v>105564048</v>
      </c>
      <c r="D6" s="3">
        <v>138352154</v>
      </c>
      <c r="E6" s="3">
        <v>167748405</v>
      </c>
      <c r="F6" s="3">
        <v>195772070</v>
      </c>
    </row>
    <row r="7" spans="1:6" x14ac:dyDescent="0.3">
      <c r="A7" t="s">
        <v>2</v>
      </c>
      <c r="C7" s="2">
        <v>25599169</v>
      </c>
      <c r="D7" s="2">
        <v>28309837</v>
      </c>
      <c r="E7" s="2">
        <v>25602266</v>
      </c>
      <c r="F7" s="2">
        <v>27685973</v>
      </c>
    </row>
    <row r="8" spans="1:6" s="1" customFormat="1" x14ac:dyDescent="0.3">
      <c r="A8" t="s">
        <v>3</v>
      </c>
      <c r="B8"/>
      <c r="C8" s="2">
        <v>21239843</v>
      </c>
      <c r="D8" s="2">
        <v>23480405</v>
      </c>
      <c r="E8" s="2">
        <v>19993798</v>
      </c>
      <c r="F8" s="2">
        <v>22336502</v>
      </c>
    </row>
    <row r="9" spans="1:6" x14ac:dyDescent="0.3">
      <c r="A9" t="s">
        <v>4</v>
      </c>
      <c r="C9" s="2">
        <v>4359326</v>
      </c>
      <c r="D9" s="2">
        <v>4829432</v>
      </c>
      <c r="E9" s="2">
        <v>5608468</v>
      </c>
      <c r="F9" s="2">
        <v>5349471</v>
      </c>
    </row>
    <row r="10" spans="1:6" x14ac:dyDescent="0.3">
      <c r="A10" s="1" t="s">
        <v>5</v>
      </c>
      <c r="B10" s="1"/>
      <c r="C10" s="3">
        <v>79964878</v>
      </c>
      <c r="D10" s="3">
        <v>110042316</v>
      </c>
      <c r="E10" s="3">
        <v>142146139</v>
      </c>
      <c r="F10" s="3">
        <v>168086097</v>
      </c>
    </row>
    <row r="11" spans="1:6" x14ac:dyDescent="0.3">
      <c r="A11" t="s">
        <v>6</v>
      </c>
      <c r="C11" s="2">
        <v>10890494</v>
      </c>
      <c r="D11" s="2">
        <v>8807152</v>
      </c>
      <c r="E11" s="2">
        <v>273681</v>
      </c>
      <c r="F11" s="2">
        <v>226139</v>
      </c>
    </row>
    <row r="12" spans="1:6" s="1" customFormat="1" x14ac:dyDescent="0.3">
      <c r="A12" t="s">
        <v>7</v>
      </c>
      <c r="B12"/>
      <c r="C12" s="2">
        <v>111628</v>
      </c>
      <c r="D12" s="2">
        <v>3988</v>
      </c>
      <c r="E12" s="6" t="s">
        <v>48</v>
      </c>
      <c r="F12" s="6" t="s">
        <v>48</v>
      </c>
    </row>
    <row r="13" spans="1:6" x14ac:dyDescent="0.3">
      <c r="A13" t="s">
        <v>8</v>
      </c>
      <c r="C13" s="2">
        <v>6116159</v>
      </c>
      <c r="D13" s="2">
        <v>7302833</v>
      </c>
      <c r="E13" s="2">
        <v>6562397</v>
      </c>
      <c r="F13" s="2">
        <v>12075118</v>
      </c>
    </row>
    <row r="14" spans="1:6" x14ac:dyDescent="0.3">
      <c r="A14" s="1" t="s">
        <v>9</v>
      </c>
      <c r="B14" s="1"/>
      <c r="C14" s="3">
        <v>84627586</v>
      </c>
      <c r="D14" s="3">
        <v>111542648</v>
      </c>
      <c r="E14" s="3">
        <v>135857423</v>
      </c>
      <c r="F14" s="3">
        <v>156237118</v>
      </c>
    </row>
    <row r="15" spans="1:6" x14ac:dyDescent="0.3">
      <c r="A15" t="s">
        <v>10</v>
      </c>
      <c r="C15" s="2">
        <v>4029885</v>
      </c>
      <c r="D15" s="2">
        <v>5311555</v>
      </c>
      <c r="E15" s="2">
        <v>6469401</v>
      </c>
      <c r="F15" s="2">
        <v>7439863</v>
      </c>
    </row>
    <row r="16" spans="1:6" s="1" customFormat="1" x14ac:dyDescent="0.3">
      <c r="A16" s="1" t="s">
        <v>11</v>
      </c>
      <c r="C16" s="3">
        <v>80597701</v>
      </c>
      <c r="D16" s="3">
        <v>106231093</v>
      </c>
      <c r="E16" s="3">
        <v>129388022</v>
      </c>
      <c r="F16" s="3">
        <v>148797255</v>
      </c>
    </row>
    <row r="17" spans="1:6" x14ac:dyDescent="0.3">
      <c r="A17" t="s">
        <v>49</v>
      </c>
      <c r="C17" s="4">
        <v>-24566131</v>
      </c>
      <c r="D17" s="2">
        <v>669471</v>
      </c>
      <c r="E17" s="2">
        <v>37113619</v>
      </c>
      <c r="F17" s="2">
        <v>52079040</v>
      </c>
    </row>
    <row r="18" spans="1:6" s="1" customFormat="1" x14ac:dyDescent="0.3">
      <c r="A18" t="s">
        <v>12</v>
      </c>
      <c r="B18"/>
      <c r="C18" s="4">
        <v>-9209450</v>
      </c>
      <c r="D18" s="4">
        <v>-22172603</v>
      </c>
      <c r="E18" s="2">
        <v>27202150</v>
      </c>
      <c r="F18" s="2">
        <v>33147747</v>
      </c>
    </row>
    <row r="19" spans="1:6" x14ac:dyDescent="0.3">
      <c r="A19" t="s">
        <v>13</v>
      </c>
      <c r="C19" s="4">
        <v>-15356681</v>
      </c>
      <c r="D19" s="2">
        <v>22842074</v>
      </c>
      <c r="E19" s="2">
        <v>9911469</v>
      </c>
      <c r="F19" s="2">
        <v>18931293</v>
      </c>
    </row>
    <row r="20" spans="1:6" x14ac:dyDescent="0.3">
      <c r="A20" s="1" t="s">
        <v>15</v>
      </c>
      <c r="B20" s="1"/>
      <c r="C20" s="3">
        <v>56031570</v>
      </c>
      <c r="D20" s="3">
        <v>105561622</v>
      </c>
      <c r="E20" s="3">
        <v>92274403</v>
      </c>
      <c r="F20" s="3">
        <v>96718215</v>
      </c>
    </row>
    <row r="21" spans="1:6" x14ac:dyDescent="0.3">
      <c r="A21" s="1" t="s">
        <v>14</v>
      </c>
      <c r="B21" s="1"/>
      <c r="C21" s="1">
        <v>0.55000000000000004</v>
      </c>
      <c r="D21" s="1">
        <v>1.17</v>
      </c>
      <c r="E21" s="1">
        <v>1.42</v>
      </c>
      <c r="F21" s="1">
        <v>1.83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CCE4-B2E8-4617-AF0F-C045A2FFC6E5}">
  <dimension ref="A1:R21"/>
  <sheetViews>
    <sheetView tabSelected="1" zoomScale="87" zoomScaleNormal="90" workbookViewId="0">
      <selection sqref="A1:I1"/>
    </sheetView>
  </sheetViews>
  <sheetFormatPr defaultColWidth="11.19921875" defaultRowHeight="15.6" x14ac:dyDescent="0.3"/>
  <cols>
    <col min="1" max="1" width="53.296875" customWidth="1"/>
    <col min="3" max="3" width="15.796875" customWidth="1"/>
    <col min="4" max="4" width="20.09765625" customWidth="1"/>
    <col min="5" max="5" width="17.69921875" customWidth="1"/>
    <col min="6" max="6" width="19.8984375" customWidth="1"/>
    <col min="7" max="7" width="16.296875" customWidth="1"/>
    <col min="8" max="8" width="19.69921875" customWidth="1"/>
    <col min="9" max="9" width="16.3984375" customWidth="1"/>
    <col min="10" max="10" width="19.296875" customWidth="1"/>
  </cols>
  <sheetData>
    <row r="1" spans="1:18" x14ac:dyDescent="0.3">
      <c r="A1" s="15" t="s">
        <v>87</v>
      </c>
      <c r="B1" s="14"/>
      <c r="C1" s="14"/>
      <c r="D1" s="14"/>
      <c r="E1" s="14"/>
      <c r="F1" s="14"/>
      <c r="G1" s="14"/>
      <c r="H1" s="14"/>
      <c r="I1" s="14"/>
      <c r="J1" s="15"/>
      <c r="K1" s="14"/>
      <c r="L1" s="14"/>
      <c r="M1" s="14"/>
      <c r="N1" s="14"/>
      <c r="O1" s="14"/>
      <c r="P1" s="14"/>
      <c r="Q1" s="14"/>
      <c r="R1" s="14"/>
    </row>
    <row r="3" spans="1:18" x14ac:dyDescent="0.3">
      <c r="A3" s="1" t="s">
        <v>46</v>
      </c>
      <c r="B3" s="1"/>
      <c r="C3" s="1">
        <v>2022</v>
      </c>
      <c r="D3" s="1" t="s">
        <v>51</v>
      </c>
      <c r="E3" s="1">
        <v>2021</v>
      </c>
      <c r="F3" s="1" t="s">
        <v>54</v>
      </c>
      <c r="G3" s="1">
        <v>2020</v>
      </c>
      <c r="H3" s="1" t="s">
        <v>53</v>
      </c>
      <c r="I3" s="1">
        <v>2019</v>
      </c>
      <c r="J3" s="1" t="s">
        <v>52</v>
      </c>
    </row>
    <row r="4" spans="1:18" x14ac:dyDescent="0.3">
      <c r="A4" s="1" t="s">
        <v>45</v>
      </c>
      <c r="B4" s="1"/>
      <c r="C4" s="3">
        <v>449026637</v>
      </c>
      <c r="D4" s="5">
        <f>(C4/$C$4)</f>
        <v>1</v>
      </c>
      <c r="E4" s="3">
        <v>475081252</v>
      </c>
      <c r="F4" s="5">
        <f>E4/$E$4</f>
        <v>1</v>
      </c>
      <c r="G4" s="3">
        <v>565252592</v>
      </c>
      <c r="H4" s="5">
        <f>G4/$G$4</f>
        <v>1</v>
      </c>
      <c r="I4" s="3">
        <v>631432785</v>
      </c>
      <c r="J4" s="5">
        <f>I4/$I$4</f>
        <v>1</v>
      </c>
    </row>
    <row r="5" spans="1:18" s="1" customFormat="1" x14ac:dyDescent="0.3">
      <c r="A5" t="s">
        <v>0</v>
      </c>
      <c r="B5"/>
      <c r="C5" s="2">
        <v>343462589</v>
      </c>
      <c r="D5" s="5">
        <f t="shared" ref="D5:D20" si="0">(C5/$C$4)</f>
        <v>0.76490470876007299</v>
      </c>
      <c r="E5" s="2">
        <v>336729098</v>
      </c>
      <c r="F5" s="5">
        <f t="shared" ref="F5:F20" si="1">E5/$E$4</f>
        <v>0.70878212217896575</v>
      </c>
      <c r="G5" s="2">
        <v>397504187</v>
      </c>
      <c r="H5" s="5">
        <f t="shared" ref="H5:H20" si="2">G5/$G$4</f>
        <v>0.70323284249530693</v>
      </c>
      <c r="I5" s="2">
        <v>435660715</v>
      </c>
      <c r="J5" s="5">
        <f t="shared" ref="J5:J20" si="3">I5/$I$4</f>
        <v>0.6899558042428855</v>
      </c>
    </row>
    <row r="6" spans="1:18" s="1" customFormat="1" x14ac:dyDescent="0.3">
      <c r="A6" s="1" t="s">
        <v>1</v>
      </c>
      <c r="C6" s="3">
        <v>105564048</v>
      </c>
      <c r="D6" s="5">
        <f t="shared" si="0"/>
        <v>0.23509529123992703</v>
      </c>
      <c r="E6" s="3">
        <v>138352154</v>
      </c>
      <c r="F6" s="5">
        <f t="shared" si="1"/>
        <v>0.29121787782103431</v>
      </c>
      <c r="G6" s="3">
        <v>167748405</v>
      </c>
      <c r="H6" s="5">
        <f t="shared" si="2"/>
        <v>0.29676715750469307</v>
      </c>
      <c r="I6" s="3">
        <v>195772070</v>
      </c>
      <c r="J6" s="5">
        <f t="shared" si="3"/>
        <v>0.3100441957571145</v>
      </c>
    </row>
    <row r="7" spans="1:18" x14ac:dyDescent="0.3">
      <c r="A7" t="s">
        <v>2</v>
      </c>
      <c r="C7" s="2">
        <v>25599169</v>
      </c>
      <c r="D7" s="5">
        <f t="shared" si="0"/>
        <v>5.7010357271967363E-2</v>
      </c>
      <c r="E7" s="2">
        <v>28309837</v>
      </c>
      <c r="F7" s="5">
        <f t="shared" si="1"/>
        <v>5.9589463656629413E-2</v>
      </c>
      <c r="G7" s="2">
        <v>25602266</v>
      </c>
      <c r="H7" s="5">
        <f t="shared" si="2"/>
        <v>4.5293495973920274E-2</v>
      </c>
      <c r="I7" s="2">
        <v>27685973</v>
      </c>
      <c r="J7" s="5">
        <f t="shared" si="3"/>
        <v>4.384627098512156E-2</v>
      </c>
    </row>
    <row r="8" spans="1:18" s="1" customFormat="1" x14ac:dyDescent="0.3">
      <c r="A8" t="s">
        <v>3</v>
      </c>
      <c r="B8"/>
      <c r="C8" s="2">
        <v>21239843</v>
      </c>
      <c r="D8" s="5">
        <f t="shared" si="0"/>
        <v>4.7301966631436168E-2</v>
      </c>
      <c r="E8" s="2">
        <v>23480405</v>
      </c>
      <c r="F8" s="5">
        <f t="shared" si="1"/>
        <v>4.942397726947137E-2</v>
      </c>
      <c r="G8" s="2">
        <v>19993798</v>
      </c>
      <c r="H8" s="5">
        <f t="shared" si="2"/>
        <v>3.5371439747418264E-2</v>
      </c>
      <c r="I8" s="2">
        <v>22336502</v>
      </c>
      <c r="J8" s="5">
        <f t="shared" si="3"/>
        <v>3.5374314623210452E-2</v>
      </c>
    </row>
    <row r="9" spans="1:18" x14ac:dyDescent="0.3">
      <c r="A9" t="s">
        <v>4</v>
      </c>
      <c r="C9" s="2">
        <v>4359326</v>
      </c>
      <c r="D9" s="5">
        <f t="shared" si="0"/>
        <v>9.7083906405311983E-3</v>
      </c>
      <c r="E9" s="2">
        <v>4829432</v>
      </c>
      <c r="F9" s="5">
        <f t="shared" si="1"/>
        <v>1.0165486387158043E-2</v>
      </c>
      <c r="G9" s="2">
        <v>5608468</v>
      </c>
      <c r="H9" s="5">
        <f t="shared" si="2"/>
        <v>9.9220562265020101E-3</v>
      </c>
      <c r="I9" s="2">
        <v>5349471</v>
      </c>
      <c r="J9" s="5">
        <f t="shared" si="3"/>
        <v>8.4719563619111097E-3</v>
      </c>
    </row>
    <row r="10" spans="1:18" x14ac:dyDescent="0.3">
      <c r="A10" s="1" t="s">
        <v>5</v>
      </c>
      <c r="B10" s="1"/>
      <c r="C10" s="3">
        <v>79964878</v>
      </c>
      <c r="D10" s="5">
        <f t="shared" si="0"/>
        <v>0.1780849317409203</v>
      </c>
      <c r="E10" s="3">
        <v>110042316</v>
      </c>
      <c r="F10" s="5">
        <f t="shared" si="1"/>
        <v>0.23162841205950177</v>
      </c>
      <c r="G10" s="3">
        <v>142146139</v>
      </c>
      <c r="H10" s="5">
        <f t="shared" si="2"/>
        <v>0.25147366153077277</v>
      </c>
      <c r="I10" s="3">
        <v>168086097</v>
      </c>
      <c r="J10" s="5">
        <f t="shared" si="3"/>
        <v>0.26619792477199294</v>
      </c>
    </row>
    <row r="11" spans="1:18" x14ac:dyDescent="0.3">
      <c r="A11" t="s">
        <v>6</v>
      </c>
      <c r="C11" s="2">
        <v>10890494</v>
      </c>
      <c r="D11" s="5">
        <f t="shared" si="0"/>
        <v>2.4253558926393935E-2</v>
      </c>
      <c r="E11" s="2">
        <v>8807152</v>
      </c>
      <c r="F11" s="5">
        <f t="shared" si="1"/>
        <v>1.8538201545364286E-2</v>
      </c>
      <c r="G11" s="2">
        <v>273681</v>
      </c>
      <c r="H11" s="5">
        <f t="shared" si="2"/>
        <v>4.8417469264784899E-4</v>
      </c>
      <c r="I11" s="2">
        <v>226139</v>
      </c>
      <c r="J11" s="5">
        <f t="shared" si="3"/>
        <v>3.5813629791174053E-4</v>
      </c>
    </row>
    <row r="12" spans="1:18" s="1" customFormat="1" x14ac:dyDescent="0.3">
      <c r="A12" t="s">
        <v>7</v>
      </c>
      <c r="B12"/>
      <c r="C12" s="2">
        <v>111628</v>
      </c>
      <c r="D12" s="5">
        <f t="shared" si="0"/>
        <v>2.4859995109822406E-4</v>
      </c>
      <c r="E12" s="2">
        <v>3988</v>
      </c>
      <c r="F12" s="5">
        <f t="shared" si="1"/>
        <v>8.3943535620723666E-6</v>
      </c>
      <c r="G12" s="6" t="s">
        <v>48</v>
      </c>
      <c r="H12" s="10" t="s">
        <v>48</v>
      </c>
      <c r="I12" s="6" t="s">
        <v>48</v>
      </c>
      <c r="J12" s="10" t="s">
        <v>48</v>
      </c>
    </row>
    <row r="13" spans="1:18" x14ac:dyDescent="0.3">
      <c r="A13" t="s">
        <v>8</v>
      </c>
      <c r="C13" s="2">
        <v>6116159</v>
      </c>
      <c r="D13" s="5">
        <f t="shared" si="0"/>
        <v>1.3620926902828706E-2</v>
      </c>
      <c r="E13" s="2">
        <v>7302833</v>
      </c>
      <c r="F13" s="5">
        <f t="shared" si="1"/>
        <v>1.5371755819149858E-2</v>
      </c>
      <c r="G13" s="2">
        <v>6562397</v>
      </c>
      <c r="H13" s="5">
        <f t="shared" si="2"/>
        <v>1.1609671663389736E-2</v>
      </c>
      <c r="I13" s="2">
        <v>12075118</v>
      </c>
      <c r="J13" s="5">
        <f t="shared" si="3"/>
        <v>1.9123362433580322E-2</v>
      </c>
    </row>
    <row r="14" spans="1:18" x14ac:dyDescent="0.3">
      <c r="A14" s="1" t="s">
        <v>9</v>
      </c>
      <c r="B14" s="1"/>
      <c r="C14" s="3">
        <v>84627586</v>
      </c>
      <c r="D14" s="5">
        <f t="shared" si="0"/>
        <v>0.18846896604042668</v>
      </c>
      <c r="E14" s="3">
        <v>111542648</v>
      </c>
      <c r="F14" s="5">
        <f t="shared" si="1"/>
        <v>0.23478646553705723</v>
      </c>
      <c r="G14" s="3">
        <v>135857423</v>
      </c>
      <c r="H14" s="5">
        <f t="shared" si="2"/>
        <v>0.24034816456003089</v>
      </c>
      <c r="I14" s="3">
        <v>156237118</v>
      </c>
      <c r="J14" s="5">
        <f t="shared" si="3"/>
        <v>0.24743269863632436</v>
      </c>
    </row>
    <row r="15" spans="1:18" x14ac:dyDescent="0.3">
      <c r="A15" t="s">
        <v>10</v>
      </c>
      <c r="C15" s="2">
        <v>4029885</v>
      </c>
      <c r="D15" s="5">
        <f t="shared" si="0"/>
        <v>8.9747125625422534E-3</v>
      </c>
      <c r="E15" s="2">
        <v>5311555</v>
      </c>
      <c r="F15" s="5">
        <f t="shared" si="1"/>
        <v>1.1180308584351378E-2</v>
      </c>
      <c r="G15" s="2">
        <v>6469401</v>
      </c>
      <c r="H15" s="5">
        <f t="shared" si="2"/>
        <v>1.1445150524847129E-2</v>
      </c>
      <c r="I15" s="2">
        <v>7439863</v>
      </c>
      <c r="J15" s="5">
        <f t="shared" si="3"/>
        <v>1.1782509835943979E-2</v>
      </c>
    </row>
    <row r="16" spans="1:18" s="1" customFormat="1" x14ac:dyDescent="0.3">
      <c r="A16" s="1" t="s">
        <v>11</v>
      </c>
      <c r="C16" s="3">
        <v>80597701</v>
      </c>
      <c r="D16" s="5">
        <f t="shared" si="0"/>
        <v>0.17949425347788442</v>
      </c>
      <c r="E16" s="3">
        <v>106231093</v>
      </c>
      <c r="F16" s="5">
        <f t="shared" si="1"/>
        <v>0.22360615695270586</v>
      </c>
      <c r="G16" s="3">
        <v>129388022</v>
      </c>
      <c r="H16" s="5">
        <f t="shared" si="2"/>
        <v>0.22890301403518376</v>
      </c>
      <c r="I16" s="3">
        <v>148797255</v>
      </c>
      <c r="J16" s="5">
        <f t="shared" si="3"/>
        <v>0.23565018880038038</v>
      </c>
    </row>
    <row r="17" spans="1:10" x14ac:dyDescent="0.3">
      <c r="A17" t="s">
        <v>49</v>
      </c>
      <c r="C17" s="4">
        <v>-24566131</v>
      </c>
      <c r="D17" s="5">
        <f t="shared" si="0"/>
        <v>-5.470974097244926E-2</v>
      </c>
      <c r="E17" s="2">
        <v>669471</v>
      </c>
      <c r="F17" s="5">
        <f t="shared" si="1"/>
        <v>1.4091715831379514E-3</v>
      </c>
      <c r="G17" s="2">
        <v>37113619</v>
      </c>
      <c r="H17" s="5">
        <f t="shared" si="2"/>
        <v>6.5658467604160942E-2</v>
      </c>
      <c r="I17" s="2">
        <v>52079040</v>
      </c>
      <c r="J17" s="5">
        <f t="shared" si="3"/>
        <v>8.2477567267908017E-2</v>
      </c>
    </row>
    <row r="18" spans="1:10" s="1" customFormat="1" x14ac:dyDescent="0.3">
      <c r="A18" t="s">
        <v>12</v>
      </c>
      <c r="B18"/>
      <c r="C18" s="4">
        <v>-9209450</v>
      </c>
      <c r="D18" s="5">
        <f t="shared" si="0"/>
        <v>-2.0509807751115664E-2</v>
      </c>
      <c r="E18" s="4">
        <v>-22172603</v>
      </c>
      <c r="F18" s="5">
        <f t="shared" si="1"/>
        <v>-4.6671180785723784E-2</v>
      </c>
      <c r="G18" s="2">
        <v>27202150</v>
      </c>
      <c r="H18" s="5">
        <f t="shared" si="2"/>
        <v>4.8123883702597861E-2</v>
      </c>
      <c r="I18" s="2">
        <v>33147747</v>
      </c>
      <c r="J18" s="5">
        <f t="shared" si="3"/>
        <v>5.2496081590061881E-2</v>
      </c>
    </row>
    <row r="19" spans="1:10" x14ac:dyDescent="0.3">
      <c r="A19" t="s">
        <v>13</v>
      </c>
      <c r="C19" s="4">
        <v>-15356681</v>
      </c>
      <c r="D19" s="5">
        <f t="shared" si="0"/>
        <v>-3.4199933221333592E-2</v>
      </c>
      <c r="E19" s="2">
        <v>22842074</v>
      </c>
      <c r="F19" s="5">
        <f t="shared" si="1"/>
        <v>4.808035236886174E-2</v>
      </c>
      <c r="G19" s="2">
        <v>9911469</v>
      </c>
      <c r="H19" s="5">
        <f t="shared" si="2"/>
        <v>1.7534583901563074E-2</v>
      </c>
      <c r="I19" s="2">
        <v>18931293</v>
      </c>
      <c r="J19" s="5">
        <f t="shared" si="3"/>
        <v>2.9981485677846139E-2</v>
      </c>
    </row>
    <row r="20" spans="1:10" x14ac:dyDescent="0.3">
      <c r="A20" s="1" t="s">
        <v>15</v>
      </c>
      <c r="B20" s="1"/>
      <c r="C20" s="3">
        <v>56031570</v>
      </c>
      <c r="D20" s="5">
        <f t="shared" si="0"/>
        <v>0.12478451250543518</v>
      </c>
      <c r="E20" s="3">
        <v>105561622</v>
      </c>
      <c r="F20" s="5">
        <f t="shared" si="1"/>
        <v>0.22219698536956789</v>
      </c>
      <c r="G20" s="3">
        <v>92274403</v>
      </c>
      <c r="H20" s="5">
        <f t="shared" si="2"/>
        <v>0.16324454643102282</v>
      </c>
      <c r="I20" s="3">
        <v>96718215</v>
      </c>
      <c r="J20" s="5">
        <f t="shared" si="3"/>
        <v>0.15317262153247238</v>
      </c>
    </row>
    <row r="21" spans="1:10" x14ac:dyDescent="0.3">
      <c r="A21" s="1"/>
      <c r="B21" s="1"/>
      <c r="C21" s="1"/>
      <c r="D21" s="3"/>
      <c r="E21" s="1"/>
      <c r="F21" s="5"/>
      <c r="G21" s="1"/>
      <c r="H21" s="1"/>
      <c r="I21" s="1"/>
    </row>
  </sheetData>
  <mergeCells count="2">
    <mergeCell ref="A1:I1"/>
    <mergeCell ref="J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3FB3-C903-4109-AB72-DFDAC007D757}">
  <dimension ref="A1:I21"/>
  <sheetViews>
    <sheetView zoomScale="94" zoomScaleNormal="100" workbookViewId="0">
      <selection sqref="A1:I1"/>
    </sheetView>
  </sheetViews>
  <sheetFormatPr defaultColWidth="11.19921875" defaultRowHeight="15.6" x14ac:dyDescent="0.3"/>
  <cols>
    <col min="1" max="1" width="53.296875" customWidth="1"/>
    <col min="3" max="3" width="14.59765625" customWidth="1"/>
    <col min="4" max="4" width="20.5" customWidth="1"/>
    <col min="5" max="5" width="14.796875" customWidth="1"/>
    <col min="6" max="6" width="21" customWidth="1"/>
    <col min="7" max="7" width="14.69921875" customWidth="1"/>
    <col min="8" max="8" width="20.69921875" customWidth="1"/>
    <col min="9" max="9" width="16.59765625" customWidth="1"/>
  </cols>
  <sheetData>
    <row r="1" spans="1:9" x14ac:dyDescent="0.3">
      <c r="A1" s="15" t="s">
        <v>84</v>
      </c>
      <c r="B1" s="14"/>
      <c r="C1" s="14"/>
      <c r="D1" s="14"/>
      <c r="E1" s="14"/>
      <c r="F1" s="14"/>
      <c r="G1" s="14"/>
      <c r="H1" s="14"/>
      <c r="I1" s="14"/>
    </row>
    <row r="3" spans="1:9" x14ac:dyDescent="0.3">
      <c r="A3" s="1" t="s">
        <v>46</v>
      </c>
      <c r="B3" s="1"/>
      <c r="C3" s="1">
        <v>2022</v>
      </c>
      <c r="D3" s="1" t="s">
        <v>55</v>
      </c>
      <c r="E3" s="1">
        <v>2021</v>
      </c>
      <c r="F3" s="1" t="s">
        <v>56</v>
      </c>
      <c r="G3" s="1">
        <v>2020</v>
      </c>
      <c r="H3" s="1" t="s">
        <v>57</v>
      </c>
      <c r="I3" s="1">
        <v>2019</v>
      </c>
    </row>
    <row r="4" spans="1:9" x14ac:dyDescent="0.3">
      <c r="A4" s="1" t="s">
        <v>45</v>
      </c>
      <c r="B4" s="1"/>
      <c r="C4" s="3">
        <v>449026637</v>
      </c>
      <c r="D4" s="8">
        <f>(C4-E4)/E4</f>
        <v>-5.4842439878052693E-2</v>
      </c>
      <c r="E4" s="3">
        <v>475081252</v>
      </c>
      <c r="F4" s="8">
        <f>(E4-G4)/G4</f>
        <v>-0.15952397437215113</v>
      </c>
      <c r="G4" s="3">
        <v>565252592</v>
      </c>
      <c r="H4" s="8">
        <f>(G4-I4)/I4</f>
        <v>-0.10480956100497696</v>
      </c>
      <c r="I4" s="3">
        <v>631432785</v>
      </c>
    </row>
    <row r="5" spans="1:9" s="1" customFormat="1" x14ac:dyDescent="0.3">
      <c r="A5" t="s">
        <v>0</v>
      </c>
      <c r="B5"/>
      <c r="C5" s="2">
        <v>343462589</v>
      </c>
      <c r="D5" s="8">
        <f t="shared" ref="D5:D21" si="0">(C5-E5)/E5</f>
        <v>1.9996760125553511E-2</v>
      </c>
      <c r="E5" s="2">
        <v>336729098</v>
      </c>
      <c r="F5" s="8">
        <f t="shared" ref="F5:F21" si="1">(E5-G5)/G5</f>
        <v>-0.15289169520118789</v>
      </c>
      <c r="G5" s="2">
        <v>397504187</v>
      </c>
      <c r="H5" s="8">
        <f t="shared" ref="H5:H21" si="2">(G5-I5)/I5</f>
        <v>-8.7583127618013484E-2</v>
      </c>
      <c r="I5" s="2">
        <v>435660715</v>
      </c>
    </row>
    <row r="6" spans="1:9" s="1" customFormat="1" x14ac:dyDescent="0.3">
      <c r="A6" s="1" t="s">
        <v>1</v>
      </c>
      <c r="C6" s="3">
        <v>105564048</v>
      </c>
      <c r="D6" s="8">
        <f t="shared" si="0"/>
        <v>-0.23699020978018168</v>
      </c>
      <c r="E6" s="3">
        <v>138352154</v>
      </c>
      <c r="F6" s="8">
        <f t="shared" si="1"/>
        <v>-0.17524012225332336</v>
      </c>
      <c r="G6" s="3">
        <v>167748405</v>
      </c>
      <c r="H6" s="8">
        <f t="shared" si="2"/>
        <v>-0.14314434638199411</v>
      </c>
      <c r="I6" s="3">
        <v>195772070</v>
      </c>
    </row>
    <row r="7" spans="1:9" x14ac:dyDescent="0.3">
      <c r="A7" t="s">
        <v>2</v>
      </c>
      <c r="C7" s="2">
        <v>25599169</v>
      </c>
      <c r="D7" s="8">
        <f t="shared" si="0"/>
        <v>-9.5750039111846527E-2</v>
      </c>
      <c r="E7" s="2">
        <v>28309837</v>
      </c>
      <c r="F7" s="8">
        <f t="shared" si="1"/>
        <v>0.10575513120596435</v>
      </c>
      <c r="G7" s="2">
        <v>25602266</v>
      </c>
      <c r="H7" s="8">
        <f t="shared" si="2"/>
        <v>-7.5262191435352482E-2</v>
      </c>
      <c r="I7" s="2">
        <v>27685973</v>
      </c>
    </row>
    <row r="8" spans="1:9" s="1" customFormat="1" x14ac:dyDescent="0.3">
      <c r="A8" t="s">
        <v>3</v>
      </c>
      <c r="B8"/>
      <c r="C8" s="2">
        <v>21239843</v>
      </c>
      <c r="D8" s="8">
        <f t="shared" si="0"/>
        <v>-9.5422630061108404E-2</v>
      </c>
      <c r="E8" s="2">
        <v>23480405</v>
      </c>
      <c r="F8" s="8">
        <f t="shared" si="1"/>
        <v>0.17438442661069198</v>
      </c>
      <c r="G8" s="2">
        <v>19993798</v>
      </c>
      <c r="H8" s="8">
        <f t="shared" si="2"/>
        <v>-0.10488231326462845</v>
      </c>
      <c r="I8" s="2">
        <v>22336502</v>
      </c>
    </row>
    <row r="9" spans="1:9" x14ac:dyDescent="0.3">
      <c r="A9" t="s">
        <v>4</v>
      </c>
      <c r="C9" s="2">
        <v>4359326</v>
      </c>
      <c r="D9" s="8">
        <f t="shared" si="0"/>
        <v>-9.7341882026706253E-2</v>
      </c>
      <c r="E9" s="2">
        <v>4829432</v>
      </c>
      <c r="F9" s="8">
        <f t="shared" si="1"/>
        <v>-0.13890352944868367</v>
      </c>
      <c r="G9" s="2">
        <v>5608468</v>
      </c>
      <c r="H9" s="8">
        <f t="shared" si="2"/>
        <v>4.8415441452061336E-2</v>
      </c>
      <c r="I9" s="2">
        <v>5349471</v>
      </c>
    </row>
    <row r="10" spans="1:9" x14ac:dyDescent="0.3">
      <c r="A10" s="1" t="s">
        <v>5</v>
      </c>
      <c r="B10" s="1"/>
      <c r="C10" s="3">
        <v>79964878</v>
      </c>
      <c r="D10" s="8">
        <f t="shared" si="0"/>
        <v>-0.27332610847630651</v>
      </c>
      <c r="E10" s="3">
        <v>110042316</v>
      </c>
      <c r="F10" s="8">
        <f t="shared" si="1"/>
        <v>-0.22585082666227044</v>
      </c>
      <c r="G10" s="3">
        <v>142146139</v>
      </c>
      <c r="H10" s="8">
        <f t="shared" si="2"/>
        <v>-0.15432542288134635</v>
      </c>
      <c r="I10" s="3">
        <v>168086097</v>
      </c>
    </row>
    <row r="11" spans="1:9" x14ac:dyDescent="0.3">
      <c r="A11" t="s">
        <v>6</v>
      </c>
      <c r="C11" s="2">
        <v>10890494</v>
      </c>
      <c r="D11" s="8">
        <f t="shared" si="0"/>
        <v>0.23655115751380243</v>
      </c>
      <c r="E11" s="2">
        <v>8807152</v>
      </c>
      <c r="F11" s="8">
        <f t="shared" si="1"/>
        <v>31.180355961868013</v>
      </c>
      <c r="G11" s="2">
        <v>273681</v>
      </c>
      <c r="H11" s="8">
        <f t="shared" si="2"/>
        <v>0.21023352893574307</v>
      </c>
      <c r="I11" s="2">
        <v>226139</v>
      </c>
    </row>
    <row r="12" spans="1:9" s="1" customFormat="1" x14ac:dyDescent="0.3">
      <c r="A12" t="s">
        <v>7</v>
      </c>
      <c r="B12"/>
      <c r="C12" s="2">
        <v>111628</v>
      </c>
      <c r="D12" s="8">
        <f t="shared" si="0"/>
        <v>26.99097291875627</v>
      </c>
      <c r="E12" s="2">
        <v>3988</v>
      </c>
      <c r="F12" s="11"/>
      <c r="G12" s="6" t="s">
        <v>48</v>
      </c>
      <c r="H12" s="11"/>
      <c r="I12" s="6" t="s">
        <v>48</v>
      </c>
    </row>
    <row r="13" spans="1:9" x14ac:dyDescent="0.3">
      <c r="A13" t="s">
        <v>8</v>
      </c>
      <c r="C13" s="2">
        <v>6116159</v>
      </c>
      <c r="D13" s="8">
        <f t="shared" si="0"/>
        <v>-0.16249502076796771</v>
      </c>
      <c r="E13" s="2">
        <v>7302833</v>
      </c>
      <c r="F13" s="8">
        <f t="shared" si="1"/>
        <v>0.11283011375264251</v>
      </c>
      <c r="G13" s="2">
        <v>6562397</v>
      </c>
      <c r="H13" s="8">
        <f t="shared" si="2"/>
        <v>-0.45653558002497369</v>
      </c>
      <c r="I13" s="2">
        <v>12075118</v>
      </c>
    </row>
    <row r="14" spans="1:9" x14ac:dyDescent="0.3">
      <c r="A14" s="1" t="s">
        <v>9</v>
      </c>
      <c r="B14" s="1"/>
      <c r="C14" s="3">
        <v>84627586</v>
      </c>
      <c r="D14" s="8">
        <f t="shared" si="0"/>
        <v>-0.24129839556973759</v>
      </c>
      <c r="E14" s="3">
        <v>111542648</v>
      </c>
      <c r="F14" s="8">
        <f t="shared" si="1"/>
        <v>-0.17897273820658294</v>
      </c>
      <c r="G14" s="3">
        <v>135857423</v>
      </c>
      <c r="H14" s="8">
        <f t="shared" si="2"/>
        <v>-0.13044080216584641</v>
      </c>
      <c r="I14" s="3">
        <v>156237118</v>
      </c>
    </row>
    <row r="15" spans="1:9" x14ac:dyDescent="0.3">
      <c r="A15" t="s">
        <v>10</v>
      </c>
      <c r="C15" s="2">
        <v>4029885</v>
      </c>
      <c r="D15" s="8">
        <f t="shared" si="0"/>
        <v>-0.2412984521481939</v>
      </c>
      <c r="E15" s="2">
        <v>5311555</v>
      </c>
      <c r="F15" s="8">
        <f t="shared" si="1"/>
        <v>-0.178972674595376</v>
      </c>
      <c r="G15" s="2">
        <v>6469401</v>
      </c>
      <c r="H15" s="8">
        <f t="shared" si="2"/>
        <v>-0.13044084279508911</v>
      </c>
      <c r="I15" s="2">
        <v>7439863</v>
      </c>
    </row>
    <row r="16" spans="1:9" s="1" customFormat="1" x14ac:dyDescent="0.3">
      <c r="A16" s="1" t="s">
        <v>11</v>
      </c>
      <c r="C16" s="3">
        <v>80597701</v>
      </c>
      <c r="D16" s="8">
        <f t="shared" si="0"/>
        <v>-0.2412983927408146</v>
      </c>
      <c r="E16" s="3">
        <v>106231093</v>
      </c>
      <c r="F16" s="8">
        <f t="shared" si="1"/>
        <v>-0.17897274138714325</v>
      </c>
      <c r="G16" s="3">
        <v>129388022</v>
      </c>
      <c r="H16" s="8">
        <f t="shared" si="2"/>
        <v>-0.13044080013438419</v>
      </c>
      <c r="I16" s="3">
        <v>148797255</v>
      </c>
    </row>
    <row r="17" spans="1:9" x14ac:dyDescent="0.3">
      <c r="A17" t="s">
        <v>49</v>
      </c>
      <c r="C17" s="4">
        <v>-24566131</v>
      </c>
      <c r="D17" s="8">
        <f t="shared" si="0"/>
        <v>-37.6948396569829</v>
      </c>
      <c r="E17" s="2">
        <v>669471</v>
      </c>
      <c r="F17" s="8">
        <f t="shared" si="1"/>
        <v>-0.98196158127290145</v>
      </c>
      <c r="G17" s="2">
        <v>37113619</v>
      </c>
      <c r="H17" s="8">
        <f t="shared" si="2"/>
        <v>-0.28735977084062991</v>
      </c>
      <c r="I17" s="2">
        <v>52079040</v>
      </c>
    </row>
    <row r="18" spans="1:9" s="1" customFormat="1" x14ac:dyDescent="0.3">
      <c r="A18" t="s">
        <v>12</v>
      </c>
      <c r="B18"/>
      <c r="C18" s="4">
        <v>-9209450</v>
      </c>
      <c r="D18" s="8">
        <f t="shared" si="0"/>
        <v>-0.58464732354608973</v>
      </c>
      <c r="E18" s="4">
        <v>-22172603</v>
      </c>
      <c r="F18" s="8">
        <f t="shared" si="1"/>
        <v>-1.8151047987015732</v>
      </c>
      <c r="G18" s="2">
        <v>27202150</v>
      </c>
      <c r="H18" s="8">
        <f t="shared" si="2"/>
        <v>-0.17936654940681188</v>
      </c>
      <c r="I18" s="2">
        <v>33147747</v>
      </c>
    </row>
    <row r="19" spans="1:9" x14ac:dyDescent="0.3">
      <c r="A19" t="s">
        <v>13</v>
      </c>
      <c r="C19" s="4">
        <v>-15356681</v>
      </c>
      <c r="D19" s="8">
        <f t="shared" si="0"/>
        <v>-1.6722980146198634</v>
      </c>
      <c r="E19" s="2">
        <v>22842074</v>
      </c>
      <c r="F19" s="8">
        <f t="shared" si="1"/>
        <v>1.3046103458528699</v>
      </c>
      <c r="G19" s="2">
        <v>9911469</v>
      </c>
      <c r="H19" s="8">
        <f t="shared" si="2"/>
        <v>-0.47645049918143467</v>
      </c>
      <c r="I19" s="2">
        <v>18931293</v>
      </c>
    </row>
    <row r="20" spans="1:9" x14ac:dyDescent="0.3">
      <c r="A20" s="1" t="s">
        <v>15</v>
      </c>
      <c r="B20" s="1"/>
      <c r="C20" s="3">
        <v>56031570</v>
      </c>
      <c r="D20" s="8">
        <f t="shared" si="0"/>
        <v>-0.46920510562067719</v>
      </c>
      <c r="E20" s="3">
        <v>105561622</v>
      </c>
      <c r="F20" s="8">
        <f t="shared" si="1"/>
        <v>0.14399680266693246</v>
      </c>
      <c r="G20" s="3">
        <v>92274403</v>
      </c>
      <c r="H20" s="8">
        <f t="shared" si="2"/>
        <v>-4.5945967882058202E-2</v>
      </c>
      <c r="I20" s="3">
        <v>96718215</v>
      </c>
    </row>
    <row r="21" spans="1:9" x14ac:dyDescent="0.3">
      <c r="A21" s="1" t="s">
        <v>14</v>
      </c>
      <c r="B21" s="1"/>
      <c r="C21" s="1">
        <v>0.55000000000000004</v>
      </c>
      <c r="D21" s="8">
        <f t="shared" si="0"/>
        <v>-0.52991452991452981</v>
      </c>
      <c r="E21" s="1">
        <v>1.17</v>
      </c>
      <c r="F21" s="8">
        <f t="shared" si="1"/>
        <v>-0.17605633802816903</v>
      </c>
      <c r="G21" s="1">
        <v>1.42</v>
      </c>
      <c r="H21" s="8">
        <f t="shared" si="2"/>
        <v>-0.22404371584699462</v>
      </c>
      <c r="I21" s="1">
        <v>1.83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B6C-4479-402C-BF6A-CE8B50BC4A00}">
  <dimension ref="G2:L25"/>
  <sheetViews>
    <sheetView zoomScale="96" workbookViewId="0">
      <selection activeCell="G2" sqref="G2:L3"/>
    </sheetView>
  </sheetViews>
  <sheetFormatPr defaultRowHeight="15.6" x14ac:dyDescent="0.3"/>
  <cols>
    <col min="1" max="1" width="30" customWidth="1"/>
  </cols>
  <sheetData>
    <row r="2" spans="7:12" x14ac:dyDescent="0.3">
      <c r="G2" s="16" t="s">
        <v>83</v>
      </c>
      <c r="H2" s="17"/>
      <c r="I2" s="17"/>
      <c r="J2" s="17"/>
      <c r="K2" s="17"/>
      <c r="L2" s="17"/>
    </row>
    <row r="3" spans="7:12" x14ac:dyDescent="0.3">
      <c r="G3" s="17"/>
      <c r="H3" s="17"/>
      <c r="I3" s="17"/>
      <c r="J3" s="17"/>
      <c r="K3" s="17"/>
      <c r="L3" s="17"/>
    </row>
    <row r="4" spans="7:12" x14ac:dyDescent="0.3">
      <c r="G4" s="1" t="s">
        <v>58</v>
      </c>
      <c r="I4" s="1">
        <v>2022</v>
      </c>
      <c r="J4" s="1">
        <v>2021</v>
      </c>
      <c r="K4" s="1">
        <v>2020</v>
      </c>
      <c r="L4" s="1">
        <v>2019</v>
      </c>
    </row>
    <row r="6" spans="7:12" x14ac:dyDescent="0.3">
      <c r="G6" s="1" t="s">
        <v>71</v>
      </c>
    </row>
    <row r="8" spans="7:12" x14ac:dyDescent="0.3">
      <c r="G8" t="s">
        <v>59</v>
      </c>
      <c r="I8" s="9">
        <f>'BS of DSBSL'!C14/'BS of DSBSL'!C32</f>
        <v>9.085458124464072</v>
      </c>
      <c r="J8" s="9">
        <f>'BS of DSBSL'!D14/'BS of DSBSL'!D32</f>
        <v>4.8182889635674018</v>
      </c>
      <c r="K8" s="9">
        <f>'BS of DSBSL'!E14/'BS of DSBSL'!E32</f>
        <v>3.8081567253142845</v>
      </c>
      <c r="L8" s="9">
        <f>'BS of DSBSL'!F14/'BS of DSBSL'!F32</f>
        <v>3.8182395450415716</v>
      </c>
    </row>
    <row r="9" spans="7:12" x14ac:dyDescent="0.3">
      <c r="G9" t="s">
        <v>60</v>
      </c>
      <c r="I9" s="9">
        <f>('BS of DSBSL'!C13+'BS of DSBSL'!C11)/'BS of DSBSL'!C32</f>
        <v>3.3715384253181653</v>
      </c>
      <c r="J9" s="9">
        <f>('BS of DSBSL'!D13+'BS of DSBSL'!D11)/'BS of DSBSL'!D32</f>
        <v>2.2884358797811157</v>
      </c>
      <c r="K9" s="9">
        <f>('BS of DSBSL'!E13+'BS of DSBSL'!E11)/'BS of DSBSL'!E32</f>
        <v>1.004832618778343</v>
      </c>
      <c r="L9" s="9">
        <f>('BS of DSBSL'!F13+'BS of DSBSL'!F11)/'BS of DSBSL'!F32</f>
        <v>1.2242898802247439</v>
      </c>
    </row>
    <row r="10" spans="7:12" x14ac:dyDescent="0.3">
      <c r="G10" t="s">
        <v>61</v>
      </c>
      <c r="I10" s="9">
        <f>'IS of DSBSL'!C4/(('BS of DSBSL'!C11+'BS of DSBSL'!D11)/2)</f>
        <v>2.6064059545030127</v>
      </c>
      <c r="J10" s="9">
        <f>'IS of DSBSL'!D4/(('BS of DSBSL'!D11+'BS of DSBSL'!E11)/2)</f>
        <v>2.7345193440328557</v>
      </c>
      <c r="K10" s="9">
        <f>'IS of DSBSL'!E4/(('BS of DSBSL'!E11+'BS of DSBSL'!F11)/2)</f>
        <v>3.1512127141921793</v>
      </c>
      <c r="L10" s="9">
        <f>'IS of DSBSL'!F4/(('BS of DSBSL'!F11+'BS of DSBSL'!G11)/2)</f>
        <v>6.7640501665716197</v>
      </c>
    </row>
    <row r="11" spans="7:12" x14ac:dyDescent="0.3">
      <c r="G11" t="s">
        <v>62</v>
      </c>
      <c r="I11" s="9">
        <f>365/I10</f>
        <v>140.03958185001841</v>
      </c>
      <c r="J11" s="9">
        <f t="shared" ref="J11:L11" si="0">365/J10</f>
        <v>133.47866812370023</v>
      </c>
      <c r="K11" s="9">
        <f t="shared" si="0"/>
        <v>115.82842324675266</v>
      </c>
      <c r="L11" s="9">
        <f t="shared" si="0"/>
        <v>53.961752354211384</v>
      </c>
    </row>
    <row r="12" spans="7:12" x14ac:dyDescent="0.3">
      <c r="G12" t="s">
        <v>63</v>
      </c>
      <c r="I12" s="9">
        <f>'IS of DSBSL'!C5/(('BS of DSBSL'!C10+'BS of DSBSL'!D10)/2)</f>
        <v>0.92851689895790013</v>
      </c>
      <c r="J12" s="9">
        <f>'IS of DSBSL'!D5/(('BS of DSBSL'!D10+'BS of DSBSL'!E10)/2)</f>
        <v>0.88377353597451569</v>
      </c>
      <c r="K12" s="9">
        <f>'IS of DSBSL'!E5/(('BS of DSBSL'!E10+'BS of DSBSL'!F10)/2)</f>
        <v>1.1154828248147415</v>
      </c>
      <c r="L12" s="9">
        <f>'IS of DSBSL'!F5/(('BS of DSBSL'!F10+'BS of DSBSL'!G10)/2)</f>
        <v>2.6133977994394022</v>
      </c>
    </row>
    <row r="13" spans="7:12" x14ac:dyDescent="0.3">
      <c r="G13" t="s">
        <v>64</v>
      </c>
      <c r="I13">
        <f>365/I12</f>
        <v>393.10000756006644</v>
      </c>
      <c r="J13">
        <f t="shared" ref="J13:L13" si="1">365/J12</f>
        <v>413.00173080824754</v>
      </c>
      <c r="K13">
        <f t="shared" si="1"/>
        <v>327.21256829805418</v>
      </c>
      <c r="L13">
        <f t="shared" si="1"/>
        <v>139.66492207129579</v>
      </c>
    </row>
    <row r="15" spans="7:12" x14ac:dyDescent="0.3">
      <c r="G15" s="1" t="s">
        <v>70</v>
      </c>
    </row>
    <row r="17" spans="7:12" x14ac:dyDescent="0.3">
      <c r="G17" t="s">
        <v>65</v>
      </c>
      <c r="I17" s="7">
        <f>'IS of DSBSL'!C20/'IS of DSBSL'!C4</f>
        <v>0.12478451250543518</v>
      </c>
      <c r="J17" s="7">
        <f>'IS of DSBSL'!D20/'IS of DSBSL'!D4</f>
        <v>0.22219698536956789</v>
      </c>
      <c r="K17" s="7">
        <f>'IS of DSBSL'!E20/'IS of DSBSL'!E4</f>
        <v>0.16324454643102282</v>
      </c>
      <c r="L17" s="7">
        <f>'IS of DSBSL'!F20/'IS of DSBSL'!F4</f>
        <v>0.15317262153247238</v>
      </c>
    </row>
    <row r="18" spans="7:12" x14ac:dyDescent="0.3">
      <c r="G18" t="s">
        <v>66</v>
      </c>
      <c r="I18" s="9">
        <f>'IS of DSBSL'!C4/(('BS of DSBSL'!C15+'BS of DSBSL'!D15)/2)</f>
        <v>0.22541781990033016</v>
      </c>
      <c r="J18" s="9">
        <f>'IS of DSBSL'!D4/(('BS of DSBSL'!D15+'BS of DSBSL'!E15)/2)</f>
        <v>0.25894950173002018</v>
      </c>
      <c r="K18" s="9">
        <f>'IS of DSBSL'!E4/(('BS of DSBSL'!E15+'BS of DSBSL'!F15)/2)</f>
        <v>0.35604579247048684</v>
      </c>
      <c r="L18" s="9">
        <f>'IS of DSBSL'!F4/(('BS of DSBSL'!F15+'BS of DSBSL'!G15)/2)</f>
        <v>0.82532037146849535</v>
      </c>
    </row>
    <row r="19" spans="7:12" x14ac:dyDescent="0.3">
      <c r="G19" t="s">
        <v>73</v>
      </c>
      <c r="I19" s="7">
        <f>'IS of DSBSL'!C20/(('BS of DSBSL'!C15+'BS of DSBSL'!D15)/2)</f>
        <v>2.8128652766300683E-2</v>
      </c>
      <c r="J19" s="7">
        <f>'IS of DSBSL'!D20/(('BS of DSBSL'!D15+'BS of DSBSL'!E15)/2)</f>
        <v>5.7537798647362193E-2</v>
      </c>
      <c r="K19" s="7">
        <f>'IS of DSBSL'!E20/(('BS of DSBSL'!E15+'BS of DSBSL'!F15)/2)</f>
        <v>5.8122533900518705E-2</v>
      </c>
      <c r="L19" s="7">
        <f>'IS of DSBSL'!F20/(('BS of DSBSL'!F15+'BS of DSBSL'!G15)/2)</f>
        <v>0.12641648490198334</v>
      </c>
    </row>
    <row r="20" spans="7:12" x14ac:dyDescent="0.3">
      <c r="G20" t="s">
        <v>67</v>
      </c>
      <c r="I20">
        <v>0.55000000000000004</v>
      </c>
      <c r="J20">
        <v>1.17</v>
      </c>
      <c r="K20">
        <v>1.42</v>
      </c>
      <c r="L20">
        <v>1.83</v>
      </c>
    </row>
    <row r="21" spans="7:12" x14ac:dyDescent="0.3">
      <c r="G21" t="s">
        <v>68</v>
      </c>
      <c r="I21">
        <f>'BS of DSBSL'!C34/'Ratio Analysis'!I20</f>
        <v>38.218181818181812</v>
      </c>
      <c r="J21">
        <f>'BS of DSBSL'!D34/'Ratio Analysis'!J20</f>
        <v>20.957264957264957</v>
      </c>
      <c r="K21">
        <f>'BS of DSBSL'!E34/'Ratio Analysis'!K20</f>
        <v>24.260563380281692</v>
      </c>
    </row>
    <row r="23" spans="7:12" x14ac:dyDescent="0.3">
      <c r="G23" s="1" t="s">
        <v>69</v>
      </c>
    </row>
    <row r="25" spans="7:12" x14ac:dyDescent="0.3">
      <c r="G25" t="s">
        <v>72</v>
      </c>
      <c r="I25" s="7">
        <f>('BS of DSBSL'!C32+'BS of DSBSL'!C23)/'BS of DSBSL'!C15</f>
        <v>9.7654768079412937E-2</v>
      </c>
      <c r="J25" s="7">
        <f>('BS of DSBSL'!D32+'BS of DSBSL'!D23)/'BS of DSBSL'!D15</f>
        <v>0.13644560678949497</v>
      </c>
      <c r="K25" s="7">
        <f>('BS of DSBSL'!E32+'BS of DSBSL'!E23)/'BS of DSBSL'!E15</f>
        <v>0.16125327725005284</v>
      </c>
      <c r="L25" s="7">
        <v>0.15</v>
      </c>
    </row>
  </sheetData>
  <mergeCells count="1">
    <mergeCell ref="G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BS of DSBSL</vt:lpstr>
      <vt:lpstr>Vertical(BS) of DSBSL</vt:lpstr>
      <vt:lpstr>Horizontal Analysis(BS) ofDSBSL</vt:lpstr>
      <vt:lpstr>IS of DSBSL</vt:lpstr>
      <vt:lpstr>Vertical(IS) of DSBSL</vt:lpstr>
      <vt:lpstr>Horizontal Analysis(IS) ofDSBSL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HRIDOY</dc:creator>
  <cp:lastModifiedBy>Wadud Rahaman</cp:lastModifiedBy>
  <dcterms:created xsi:type="dcterms:W3CDTF">2023-10-23T07:20:27Z</dcterms:created>
  <dcterms:modified xsi:type="dcterms:W3CDTF">2023-10-30T12:40:13Z</dcterms:modified>
</cp:coreProperties>
</file>